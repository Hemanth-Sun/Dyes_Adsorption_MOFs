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ye Adsorption on MOFs\Datasets\"/>
    </mc:Choice>
  </mc:AlternateContent>
  <xr:revisionPtr revIDLastSave="0" documentId="13_ncr:1_{610C5F1A-C085-4B08-897B-5F5ED222F593}" xr6:coauthVersionLast="47" xr6:coauthVersionMax="47" xr10:uidLastSave="{00000000-0000-0000-0000-000000000000}"/>
  <bookViews>
    <workbookView xWindow="-108" yWindow="-108" windowWidth="23256" windowHeight="12456" xr2:uid="{88D1E0C6-FAE8-4075-8C3E-5FBB09618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M2" i="1" s="1" a="1"/>
  <c r="M2" i="1" s="1"/>
  <c r="K91" i="1"/>
  <c r="K90" i="1"/>
  <c r="K89" i="1"/>
  <c r="K88" i="1"/>
  <c r="K87" i="1"/>
  <c r="K78" i="1"/>
  <c r="K77" i="1"/>
  <c r="K76" i="1"/>
  <c r="K75" i="1"/>
  <c r="K74" i="1"/>
  <c r="K73" i="1"/>
  <c r="K65" i="1"/>
  <c r="K64" i="1"/>
  <c r="K63" i="1"/>
  <c r="K62" i="1"/>
  <c r="K6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<sst xmlns="http://schemas.openxmlformats.org/spreadsheetml/2006/main" count="582" uniqueCount="70">
  <si>
    <t>ZIF-67</t>
  </si>
  <si>
    <t>https://doi.org/10.1016/j.clay.2020.105564</t>
  </si>
  <si>
    <t>ZIF-67@CoAl-LDH</t>
  </si>
  <si>
    <t>MZIF-67</t>
  </si>
  <si>
    <t>http://dx.doi.org/10.1016/j.cej.2017.09.099</t>
  </si>
  <si>
    <t xml:space="preserve">ZIF-67@LDH	</t>
  </si>
  <si>
    <t>https://doi.org/10.1016/j.powtec.2020.09.006</t>
  </si>
  <si>
    <t>Cd-ZIF-8</t>
  </si>
  <si>
    <t>1.2 </t>
  </si>
  <si>
    <t>https://doi.org/10.1016/j.arabjc.2020.11.003</t>
  </si>
  <si>
    <t>MIL-53-Al</t>
  </si>
  <si>
    <t>https://doi.org/10.1016/j.micromeso.2019.109993</t>
  </si>
  <si>
    <t>MIL-101-Cr</t>
  </si>
  <si>
    <t>ZIF-8</t>
  </si>
  <si>
    <t>https://doi.org/10.1016/j.inoche.2024.112294</t>
  </si>
  <si>
    <t>Sample Name</t>
  </si>
  <si>
    <t>BET Surface area (m2/g)</t>
  </si>
  <si>
    <t>Pore volume (cm3/g)</t>
  </si>
  <si>
    <t>Pore size (nm)</t>
  </si>
  <si>
    <t>Dosage (g/L)</t>
  </si>
  <si>
    <t>Temp. (K)</t>
  </si>
  <si>
    <t>Time (h)</t>
  </si>
  <si>
    <t>Initial  Concentration (mg/L)</t>
  </si>
  <si>
    <t>pH</t>
  </si>
  <si>
    <t xml:space="preserve">Equilibrium Concentration (mg/L) </t>
  </si>
  <si>
    <t>Adsorption Capacity (mg/g)</t>
  </si>
  <si>
    <t>DOI</t>
  </si>
  <si>
    <t>CCOF</t>
  </si>
  <si>
    <t>https://doi.org/10.1080/10406638.2022.2110907</t>
  </si>
  <si>
    <t>p(HEMA-co-AETAC)/VMt</t>
  </si>
  <si>
    <t>https://doi.org/10.1080/10601325.2023.2169155</t>
  </si>
  <si>
    <t>CS/MOF-74</t>
  </si>
  <si>
    <t>https://doi.org/10.1080/01496395.2023.2245134</t>
  </si>
  <si>
    <t>Ce-UiO-66-NH₂@LS</t>
  </si>
  <si>
    <t>https://doi.org/10.1016/j.seppur.2025.132353</t>
  </si>
  <si>
    <t>Amino-MIL-53</t>
  </si>
  <si>
    <t>Amino-MIL-53-(1)</t>
  </si>
  <si>
    <t>Amino-MIL-53-(2)</t>
  </si>
  <si>
    <t>Amino-MIL-53-(3)</t>
  </si>
  <si>
    <t>https://doi.org/10.1016/j.colsurfa.2024.134103</t>
  </si>
  <si>
    <t>Cu(II)/Sal@UiO-66(Ce)</t>
  </si>
  <si>
    <t>https://doi.org/10.1016/j.molstruc.2024.137612</t>
  </si>
  <si>
    <t>MOF-1</t>
  </si>
  <si>
    <t>MOF-2</t>
  </si>
  <si>
    <t>https://doi.org/10.1016/j.colsurfa.2025.136302</t>
  </si>
  <si>
    <t>Cu-MOF</t>
  </si>
  <si>
    <t>Ni-MOF</t>
  </si>
  <si>
    <t>https://doi.org/10.1016/j.rechem.2025.102454</t>
  </si>
  <si>
    <t>NH₂-UIO@L₂</t>
  </si>
  <si>
    <t>https://doi.org/10.1016/j.ijbiomac.2023.126092</t>
  </si>
  <si>
    <t>UIO-g-NL</t>
  </si>
  <si>
    <t>https://doi.org/10.1016/j.biortech.2023.129781</t>
  </si>
  <si>
    <t>CDM-700</t>
  </si>
  <si>
    <t>CDM-800</t>
  </si>
  <si>
    <t>CDM-900</t>
  </si>
  <si>
    <t>https://doi.org/10.1016/j.envres.2023.116146</t>
  </si>
  <si>
    <t>Checker</t>
  </si>
  <si>
    <t>MOF-808-OH</t>
  </si>
  <si>
    <t>MOF-808-NH₂</t>
  </si>
  <si>
    <t>https://doi.org/10.1039/d2nj05693c</t>
  </si>
  <si>
    <t>55% SA-MIL-101</t>
  </si>
  <si>
    <t>Pure Cr-MIL-101</t>
  </si>
  <si>
    <t>15% SA-MIL-101</t>
  </si>
  <si>
    <t>25% SA-MIL-101</t>
  </si>
  <si>
    <t>85% SA-MIL-101</t>
  </si>
  <si>
    <t>https://doi.org/10.1039/c8ra02941e</t>
  </si>
  <si>
    <t>MOF-5</t>
  </si>
  <si>
    <t>https://doi.org/10.1002/slct.202501980</t>
  </si>
  <si>
    <t>CS10/MIL-68(Al)</t>
  </si>
  <si>
    <t>https://doi.org/10.1016/j.rineng.2026.109767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</si>
</sst>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FFCC"/>
      <color rgb="FFFFCCFF"/>
      <color rgb="FFCCECFF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3B4F-B855-4898-BCD9-602C3D15D6B9}">
  <dimension ref="A1:N536"/>
  <sheetViews>
    <sheetView tabSelected="1" zoomScale="63" zoomScaleNormal="130" workbookViewId="0">
      <pane ySplit="1" topLeftCell="A497" activePane="bottomLeft" state="frozen"/>
      <selection pane="bottomLeft" activeCell="K516" sqref="K516"/>
    </sheetView>
  </sheetViews>
  <sheetFormatPr defaultColWidth="8.77734375" defaultRowHeight="14.4" x14ac:dyDescent="0.3"/>
  <cols>
    <col min="1" max="1" width="15.6640625" bestFit="1" customWidth="1"/>
    <col min="2" max="2" width="21.6640625" bestFit="1" customWidth="1"/>
    <col min="3" max="3" width="19.109375" bestFit="1" customWidth="1"/>
    <col min="4" max="4" width="13.109375" bestFit="1" customWidth="1"/>
    <col min="5" max="7" width="12.77734375" bestFit="1" customWidth="1"/>
    <col min="8" max="8" width="25.109375" bestFit="1" customWidth="1"/>
    <col min="9" max="9" width="12.77734375" bestFit="1" customWidth="1"/>
    <col min="10" max="10" width="30.109375" bestFit="1" customWidth="1"/>
    <col min="11" max="11" width="24.6640625" bestFit="1" customWidth="1"/>
    <col min="14" max="14" width="43.109375" bestFit="1" customWidth="1"/>
  </cols>
  <sheetData>
    <row r="1" spans="1:14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56</v>
      </c>
      <c r="N1" t="s">
        <v>26</v>
      </c>
    </row>
    <row r="2" spans="1:14" x14ac:dyDescent="0.3">
      <c r="A2" t="s">
        <v>0</v>
      </c>
      <c r="B2">
        <v>593.6</v>
      </c>
      <c r="E2">
        <v>2</v>
      </c>
      <c r="F2">
        <v>303</v>
      </c>
      <c r="G2">
        <v>0.5</v>
      </c>
      <c r="H2">
        <v>47.685386000000001</v>
      </c>
      <c r="J2">
        <v>4.6521288972145749</v>
      </c>
      <c r="K2">
        <v>21.516628458317058</v>
      </c>
      <c r="L2" cm="1">
        <f t="array" ref="L2:L536">(H2:H536-J2:J536)/E2:E536</f>
        <v>21.516628551392714</v>
      </c>
      <c r="M2" cm="1">
        <f t="array" ref="M2:M536">K2:K536/L2:L536</f>
        <v>0.99999999567424536</v>
      </c>
      <c r="N2" s="1" t="s">
        <v>1</v>
      </c>
    </row>
    <row r="3" spans="1:14" x14ac:dyDescent="0.3">
      <c r="A3" t="s">
        <v>0</v>
      </c>
      <c r="B3">
        <v>593.6</v>
      </c>
      <c r="E3">
        <v>2</v>
      </c>
      <c r="F3">
        <v>303</v>
      </c>
      <c r="G3">
        <v>0.5</v>
      </c>
      <c r="H3">
        <v>84.046138999999997</v>
      </c>
      <c r="J3">
        <v>10.908911277629175</v>
      </c>
      <c r="K3">
        <v>36.568613823574921</v>
      </c>
      <c r="L3">
        <v>36.568613861185412</v>
      </c>
      <c r="M3">
        <v>0.99999999897150904</v>
      </c>
      <c r="N3" s="1"/>
    </row>
    <row r="4" spans="1:14" x14ac:dyDescent="0.3">
      <c r="A4" t="s">
        <v>0</v>
      </c>
      <c r="B4">
        <v>593.6</v>
      </c>
      <c r="E4">
        <v>2</v>
      </c>
      <c r="F4">
        <v>303</v>
      </c>
      <c r="G4">
        <v>0.5</v>
      </c>
      <c r="H4">
        <v>114.42871700000001</v>
      </c>
      <c r="J4">
        <v>18.11206913834069</v>
      </c>
      <c r="K4">
        <v>48.158323898573926</v>
      </c>
      <c r="L4">
        <v>48.15832393082966</v>
      </c>
      <c r="M4">
        <v>0.99999999933021477</v>
      </c>
      <c r="N4" s="1"/>
    </row>
    <row r="5" spans="1:14" x14ac:dyDescent="0.3">
      <c r="A5" t="s">
        <v>0</v>
      </c>
      <c r="B5">
        <v>593.6</v>
      </c>
      <c r="E5">
        <v>2</v>
      </c>
      <c r="F5">
        <v>303</v>
      </c>
      <c r="G5">
        <v>0.5</v>
      </c>
      <c r="H5">
        <v>130.90503000000001</v>
      </c>
      <c r="J5">
        <v>27.307293633054396</v>
      </c>
      <c r="K5">
        <v>51.798868280371849</v>
      </c>
      <c r="L5">
        <v>51.798868183472806</v>
      </c>
      <c r="M5">
        <v>1.0000000018706787</v>
      </c>
      <c r="N5" s="1"/>
    </row>
    <row r="6" spans="1:14" x14ac:dyDescent="0.3">
      <c r="A6" t="s">
        <v>2</v>
      </c>
      <c r="B6">
        <v>374.3</v>
      </c>
      <c r="E6">
        <v>2</v>
      </c>
      <c r="F6">
        <v>303</v>
      </c>
      <c r="G6">
        <v>0.5</v>
      </c>
      <c r="H6">
        <v>50.822001999999998</v>
      </c>
      <c r="J6">
        <v>4.1593128415994185</v>
      </c>
      <c r="K6">
        <v>23.331344339583158</v>
      </c>
      <c r="L6">
        <v>23.331344579200291</v>
      </c>
      <c r="M6">
        <v>0.99999998972981896</v>
      </c>
      <c r="N6" s="1"/>
    </row>
    <row r="7" spans="1:14" x14ac:dyDescent="0.3">
      <c r="A7" t="s">
        <v>2</v>
      </c>
      <c r="B7">
        <v>374.3</v>
      </c>
      <c r="E7">
        <v>2</v>
      </c>
      <c r="F7">
        <v>303</v>
      </c>
      <c r="G7">
        <v>0.5</v>
      </c>
      <c r="H7">
        <v>90.865098000000003</v>
      </c>
      <c r="J7">
        <v>9.2797840038680643</v>
      </c>
      <c r="K7">
        <v>40.792657047325285</v>
      </c>
      <c r="L7">
        <v>40.792656998065972</v>
      </c>
      <c r="M7">
        <v>1.0000000012075534</v>
      </c>
      <c r="N7" s="1"/>
    </row>
    <row r="8" spans="1:14" x14ac:dyDescent="0.3">
      <c r="A8" t="s">
        <v>2</v>
      </c>
      <c r="B8">
        <v>374.3</v>
      </c>
      <c r="E8">
        <v>2</v>
      </c>
      <c r="F8">
        <v>303</v>
      </c>
      <c r="G8">
        <v>0.5</v>
      </c>
      <c r="H8">
        <v>139.32781399999999</v>
      </c>
      <c r="J8">
        <v>14.523071553783627</v>
      </c>
      <c r="K8">
        <v>62.402371278634483</v>
      </c>
      <c r="L8">
        <v>62.402371223108183</v>
      </c>
      <c r="M8">
        <v>1.0000000008898107</v>
      </c>
      <c r="N8" s="1"/>
    </row>
    <row r="9" spans="1:14" x14ac:dyDescent="0.3">
      <c r="A9" t="s">
        <v>2</v>
      </c>
      <c r="B9">
        <v>374.3</v>
      </c>
      <c r="E9">
        <v>2</v>
      </c>
      <c r="F9">
        <v>303</v>
      </c>
      <c r="G9">
        <v>0.5</v>
      </c>
      <c r="H9">
        <v>176.89558099999999</v>
      </c>
      <c r="J9">
        <v>20.963192316539782</v>
      </c>
      <c r="K9">
        <v>77.96619421297639</v>
      </c>
      <c r="L9">
        <v>77.966194341730102</v>
      </c>
      <c r="M9">
        <v>0.99999999834859565</v>
      </c>
      <c r="N9" s="1"/>
    </row>
    <row r="10" spans="1:14" x14ac:dyDescent="0.3">
      <c r="A10" t="s">
        <v>3</v>
      </c>
      <c r="B10">
        <v>1041.9000000000001</v>
      </c>
      <c r="E10">
        <v>0.5</v>
      </c>
      <c r="F10">
        <v>298</v>
      </c>
      <c r="G10">
        <v>24</v>
      </c>
      <c r="H10">
        <v>25.624244000000001</v>
      </c>
      <c r="I10">
        <v>8</v>
      </c>
      <c r="J10">
        <v>20.347828378041299</v>
      </c>
      <c r="K10">
        <v>10.5528320195313</v>
      </c>
      <c r="L10">
        <v>10.552831243917403</v>
      </c>
      <c r="M10">
        <v>1.0000000734981807</v>
      </c>
      <c r="N10" s="1" t="s">
        <v>4</v>
      </c>
    </row>
    <row r="11" spans="1:14" x14ac:dyDescent="0.3">
      <c r="A11" t="s">
        <v>3</v>
      </c>
      <c r="B11">
        <v>1041.9000000000001</v>
      </c>
      <c r="E11">
        <v>0.5</v>
      </c>
      <c r="F11">
        <v>298</v>
      </c>
      <c r="G11">
        <v>24</v>
      </c>
      <c r="H11">
        <v>48.465421999999997</v>
      </c>
      <c r="I11">
        <v>8</v>
      </c>
      <c r="J11">
        <v>40.173918927775198</v>
      </c>
      <c r="K11">
        <v>16.5830053141222</v>
      </c>
      <c r="L11">
        <v>16.583006144449598</v>
      </c>
      <c r="M11">
        <v>0.99999994992901831</v>
      </c>
      <c r="N11" s="1"/>
    </row>
    <row r="12" spans="1:14" x14ac:dyDescent="0.3">
      <c r="A12" t="s">
        <v>3</v>
      </c>
      <c r="B12">
        <v>1041.9000000000001</v>
      </c>
      <c r="E12">
        <v>0.5</v>
      </c>
      <c r="F12">
        <v>298</v>
      </c>
      <c r="G12">
        <v>24</v>
      </c>
      <c r="H12">
        <v>75.249296000000001</v>
      </c>
      <c r="I12">
        <v>8</v>
      </c>
      <c r="J12">
        <v>60.173919875526202</v>
      </c>
      <c r="K12">
        <v>30.150751456965001</v>
      </c>
      <c r="L12">
        <v>30.150752248947597</v>
      </c>
      <c r="M12">
        <v>0.99999997373257588</v>
      </c>
      <c r="N12" s="1"/>
    </row>
    <row r="13" spans="1:14" x14ac:dyDescent="0.3">
      <c r="A13" t="s">
        <v>3</v>
      </c>
      <c r="B13">
        <v>1041.9000000000001</v>
      </c>
      <c r="E13">
        <v>0.5</v>
      </c>
      <c r="F13">
        <v>298</v>
      </c>
      <c r="G13">
        <v>24</v>
      </c>
      <c r="H13">
        <v>119.539873</v>
      </c>
      <c r="I13">
        <v>8</v>
      </c>
      <c r="J13">
        <v>100.69565296507901</v>
      </c>
      <c r="K13">
        <v>37.688439321206303</v>
      </c>
      <c r="L13">
        <v>37.688440069841988</v>
      </c>
      <c r="M13">
        <v>0.99999998013619873</v>
      </c>
      <c r="N13" s="1"/>
    </row>
    <row r="14" spans="1:14" x14ac:dyDescent="0.3">
      <c r="A14" t="s">
        <v>3</v>
      </c>
      <c r="B14">
        <v>1041.9000000000001</v>
      </c>
      <c r="E14">
        <v>0.5</v>
      </c>
      <c r="F14">
        <v>298</v>
      </c>
      <c r="G14">
        <v>24</v>
      </c>
      <c r="H14">
        <v>137.104691</v>
      </c>
      <c r="I14">
        <v>8</v>
      </c>
      <c r="J14">
        <v>120.521743514812</v>
      </c>
      <c r="K14">
        <v>33.1658956122549</v>
      </c>
      <c r="L14">
        <v>33.165894970376002</v>
      </c>
      <c r="M14">
        <v>1.000000019353583</v>
      </c>
      <c r="N14" s="1"/>
    </row>
    <row r="15" spans="1:14" x14ac:dyDescent="0.3">
      <c r="A15" t="s">
        <v>3</v>
      </c>
      <c r="B15">
        <v>1041.9000000000001</v>
      </c>
      <c r="E15">
        <v>0.5</v>
      </c>
      <c r="F15">
        <v>298</v>
      </c>
      <c r="G15">
        <v>24</v>
      </c>
      <c r="H15">
        <v>346.34201899999999</v>
      </c>
      <c r="I15">
        <v>8</v>
      </c>
      <c r="J15">
        <v>198.603319958805</v>
      </c>
      <c r="K15">
        <v>295.47739878305401</v>
      </c>
      <c r="L15">
        <v>295.47739808238998</v>
      </c>
      <c r="M15">
        <v>1.0000000023712949</v>
      </c>
      <c r="N15" s="1"/>
    </row>
    <row r="16" spans="1:14" x14ac:dyDescent="0.3">
      <c r="A16" t="s">
        <v>3</v>
      </c>
      <c r="B16">
        <v>1041.9000000000001</v>
      </c>
      <c r="E16">
        <v>0.5</v>
      </c>
      <c r="F16">
        <v>298</v>
      </c>
      <c r="G16">
        <v>24</v>
      </c>
      <c r="H16">
        <v>467.30929900000001</v>
      </c>
      <c r="I16">
        <v>8</v>
      </c>
      <c r="J16">
        <v>250.97762275093999</v>
      </c>
      <c r="K16">
        <v>432.66335241704098</v>
      </c>
      <c r="L16">
        <v>432.66335249812005</v>
      </c>
      <c r="M16">
        <v>0.99999999981260468</v>
      </c>
      <c r="N16" s="1"/>
    </row>
    <row r="17" spans="1:14" x14ac:dyDescent="0.3">
      <c r="A17" t="s">
        <v>3</v>
      </c>
      <c r="B17">
        <v>1041.9000000000001</v>
      </c>
      <c r="E17">
        <v>0.5</v>
      </c>
      <c r="F17">
        <v>298</v>
      </c>
      <c r="G17">
        <v>24</v>
      </c>
      <c r="H17">
        <v>672.05437900000004</v>
      </c>
      <c r="I17">
        <v>8</v>
      </c>
      <c r="J17">
        <v>349.44130134457401</v>
      </c>
      <c r="K17">
        <v>645.22615593944397</v>
      </c>
      <c r="L17">
        <v>645.22615531085205</v>
      </c>
      <c r="M17">
        <v>1.0000000009742196</v>
      </c>
      <c r="N17" s="1"/>
    </row>
    <row r="18" spans="1:14" x14ac:dyDescent="0.3">
      <c r="A18" t="s">
        <v>3</v>
      </c>
      <c r="B18">
        <v>1041.9000000000001</v>
      </c>
      <c r="E18">
        <v>0.5</v>
      </c>
      <c r="F18">
        <v>298</v>
      </c>
      <c r="G18">
        <v>24</v>
      </c>
      <c r="H18">
        <v>769.01193999999998</v>
      </c>
      <c r="I18">
        <v>8</v>
      </c>
      <c r="J18">
        <v>400.41897737340997</v>
      </c>
      <c r="K18">
        <v>737.18592487999001</v>
      </c>
      <c r="L18">
        <v>737.18592525318002</v>
      </c>
      <c r="M18">
        <v>0.99999999949376406</v>
      </c>
      <c r="N18" s="1"/>
    </row>
    <row r="19" spans="1:14" x14ac:dyDescent="0.3">
      <c r="A19" t="s">
        <v>3</v>
      </c>
      <c r="B19">
        <v>1041.9000000000001</v>
      </c>
      <c r="E19">
        <v>0.5</v>
      </c>
      <c r="F19">
        <v>298</v>
      </c>
      <c r="G19">
        <v>24</v>
      </c>
      <c r="H19">
        <v>968.03429000000006</v>
      </c>
      <c r="I19">
        <v>8</v>
      </c>
      <c r="J19">
        <v>599.441327983522</v>
      </c>
      <c r="K19">
        <v>737.18592487999001</v>
      </c>
      <c r="L19">
        <v>737.18592403295611</v>
      </c>
      <c r="M19">
        <v>1.0000000011490098</v>
      </c>
      <c r="N19" s="1"/>
    </row>
    <row r="20" spans="1:14" x14ac:dyDescent="0.3">
      <c r="A20" t="s">
        <v>3</v>
      </c>
      <c r="B20">
        <v>1041.9000000000001</v>
      </c>
      <c r="E20">
        <v>0.5</v>
      </c>
      <c r="F20">
        <v>298</v>
      </c>
      <c r="G20">
        <v>24</v>
      </c>
      <c r="H20">
        <v>1065.633266</v>
      </c>
      <c r="I20">
        <v>8</v>
      </c>
      <c r="J20">
        <v>699.30163334045403</v>
      </c>
      <c r="K20">
        <v>732.66326615505</v>
      </c>
      <c r="L20">
        <v>732.66326531909203</v>
      </c>
      <c r="M20">
        <v>1.0000000011409853</v>
      </c>
      <c r="N20" s="1"/>
    </row>
    <row r="21" spans="1:14" x14ac:dyDescent="0.3">
      <c r="A21" t="s">
        <v>5</v>
      </c>
      <c r="B21">
        <v>172.31</v>
      </c>
      <c r="C21">
        <v>0.49199999999999999</v>
      </c>
      <c r="D21">
        <v>13.24</v>
      </c>
      <c r="E21">
        <v>0.2</v>
      </c>
      <c r="F21">
        <v>293.14999999999998</v>
      </c>
      <c r="G21">
        <v>15</v>
      </c>
      <c r="H21">
        <v>200</v>
      </c>
      <c r="J21">
        <v>76.082476</v>
      </c>
      <c r="K21">
        <v>619.58761783826401</v>
      </c>
      <c r="L21">
        <v>619.58762000000002</v>
      </c>
      <c r="M21">
        <v>0.99999999651100835</v>
      </c>
      <c r="N21" s="1" t="s">
        <v>6</v>
      </c>
    </row>
    <row r="22" spans="1:14" x14ac:dyDescent="0.3">
      <c r="A22" t="s">
        <v>5</v>
      </c>
      <c r="B22">
        <v>172.31</v>
      </c>
      <c r="C22">
        <v>0.49199999999999999</v>
      </c>
      <c r="D22">
        <v>13.24</v>
      </c>
      <c r="E22">
        <v>0.2</v>
      </c>
      <c r="F22">
        <v>303.23605984</v>
      </c>
      <c r="G22">
        <v>15</v>
      </c>
      <c r="H22">
        <v>200</v>
      </c>
      <c r="J22">
        <v>69.072171999999995</v>
      </c>
      <c r="K22">
        <v>654.63914201241403</v>
      </c>
      <c r="L22">
        <v>654.63914</v>
      </c>
      <c r="M22">
        <v>1.0000000030740814</v>
      </c>
      <c r="N22" s="1"/>
    </row>
    <row r="23" spans="1:14" x14ac:dyDescent="0.3">
      <c r="A23" t="s">
        <v>5</v>
      </c>
      <c r="B23">
        <v>172.31</v>
      </c>
      <c r="C23">
        <v>0.49199999999999999</v>
      </c>
      <c r="D23">
        <v>13.24</v>
      </c>
      <c r="E23">
        <v>0.2</v>
      </c>
      <c r="F23">
        <v>313.14999999999998</v>
      </c>
      <c r="G23">
        <v>15</v>
      </c>
      <c r="H23">
        <v>200</v>
      </c>
      <c r="J23">
        <v>64.536086999999995</v>
      </c>
      <c r="K23">
        <v>677.31956314085198</v>
      </c>
      <c r="L23">
        <v>677.3195649999999</v>
      </c>
      <c r="M23">
        <v>0.99999999725513922</v>
      </c>
      <c r="N23" s="1"/>
    </row>
    <row r="24" spans="1:14" x14ac:dyDescent="0.3">
      <c r="A24" t="s">
        <v>5</v>
      </c>
      <c r="B24">
        <v>172.31</v>
      </c>
      <c r="C24">
        <v>0.49199999999999999</v>
      </c>
      <c r="D24">
        <v>13.24</v>
      </c>
      <c r="E24">
        <v>0.2</v>
      </c>
      <c r="F24">
        <v>303</v>
      </c>
      <c r="G24">
        <v>8.3000000000000007</v>
      </c>
      <c r="H24">
        <v>1.079234</v>
      </c>
      <c r="J24">
        <v>0.71952698200975695</v>
      </c>
      <c r="K24">
        <v>1.7985337257234799</v>
      </c>
      <c r="L24">
        <v>1.7985350899512154</v>
      </c>
      <c r="M24">
        <v>0.99999924147838815</v>
      </c>
      <c r="N24" s="1"/>
    </row>
    <row r="25" spans="1:14" x14ac:dyDescent="0.3">
      <c r="A25" t="s">
        <v>5</v>
      </c>
      <c r="B25">
        <v>172.31</v>
      </c>
      <c r="C25">
        <v>0.49199999999999999</v>
      </c>
      <c r="D25">
        <v>13.24</v>
      </c>
      <c r="E25">
        <v>0.2</v>
      </c>
      <c r="F25">
        <v>303</v>
      </c>
      <c r="G25">
        <v>8.3000000000000007</v>
      </c>
      <c r="H25">
        <v>49.179167999999997</v>
      </c>
      <c r="J25">
        <v>9.2511015288701994</v>
      </c>
      <c r="K25">
        <v>199.64033099017001</v>
      </c>
      <c r="L25">
        <v>199.64033235564898</v>
      </c>
      <c r="M25">
        <v>0.99999999316030508</v>
      </c>
      <c r="N25" s="1"/>
    </row>
    <row r="26" spans="1:14" x14ac:dyDescent="0.3">
      <c r="A26" t="s">
        <v>5</v>
      </c>
      <c r="B26">
        <v>172.31</v>
      </c>
      <c r="C26">
        <v>0.49199999999999999</v>
      </c>
      <c r="D26">
        <v>13.24</v>
      </c>
      <c r="E26">
        <v>0.2</v>
      </c>
      <c r="F26">
        <v>303</v>
      </c>
      <c r="G26">
        <v>8.3000000000000007</v>
      </c>
      <c r="H26">
        <v>99.232727999999994</v>
      </c>
      <c r="J26">
        <v>24.0528655435137</v>
      </c>
      <c r="K26">
        <v>375.89931188795299</v>
      </c>
      <c r="L26">
        <v>375.89931228243142</v>
      </c>
      <c r="M26">
        <v>0.99999999895057423</v>
      </c>
      <c r="N26" s="1"/>
    </row>
    <row r="27" spans="1:14" x14ac:dyDescent="0.3">
      <c r="A27" t="s">
        <v>5</v>
      </c>
      <c r="B27">
        <v>172.31</v>
      </c>
      <c r="C27">
        <v>0.49199999999999999</v>
      </c>
      <c r="D27">
        <v>13.24</v>
      </c>
      <c r="E27">
        <v>0.2</v>
      </c>
      <c r="F27">
        <v>303</v>
      </c>
      <c r="G27">
        <v>8.3000000000000007</v>
      </c>
      <c r="H27">
        <v>148.618944</v>
      </c>
      <c r="J27">
        <v>43.582968771128499</v>
      </c>
      <c r="K27">
        <v>525.17987524190198</v>
      </c>
      <c r="L27">
        <v>525.17987614435754</v>
      </c>
      <c r="M27">
        <v>0.99999999828162578</v>
      </c>
      <c r="N27" s="1"/>
    </row>
    <row r="28" spans="1:14" x14ac:dyDescent="0.3">
      <c r="A28" t="s">
        <v>5</v>
      </c>
      <c r="B28">
        <v>172.31</v>
      </c>
      <c r="C28">
        <v>0.49199999999999999</v>
      </c>
      <c r="D28">
        <v>13.24</v>
      </c>
      <c r="E28">
        <v>0.2</v>
      </c>
      <c r="F28">
        <v>303</v>
      </c>
      <c r="G28">
        <v>8.3000000000000007</v>
      </c>
      <c r="H28">
        <v>199.90735799999999</v>
      </c>
      <c r="J28">
        <v>68.972099830125501</v>
      </c>
      <c r="K28">
        <v>654.67629317423905</v>
      </c>
      <c r="L28">
        <v>654.67629084937244</v>
      </c>
      <c r="M28">
        <v>1.0000000035511698</v>
      </c>
      <c r="N28" s="1"/>
    </row>
    <row r="29" spans="1:14" x14ac:dyDescent="0.3">
      <c r="A29" t="s">
        <v>5</v>
      </c>
      <c r="B29">
        <v>172.31</v>
      </c>
      <c r="C29">
        <v>0.49199999999999999</v>
      </c>
      <c r="D29">
        <v>13.24</v>
      </c>
      <c r="E29">
        <v>0.2</v>
      </c>
      <c r="F29">
        <v>303</v>
      </c>
      <c r="G29">
        <v>8.3000000000000007</v>
      </c>
      <c r="H29">
        <v>49.763953000000001</v>
      </c>
      <c r="J29">
        <v>9.5032496851719692</v>
      </c>
      <c r="K29">
        <v>201.30351821981299</v>
      </c>
      <c r="L29">
        <v>201.30351657414016</v>
      </c>
      <c r="M29">
        <v>1.0000000081750824</v>
      </c>
      <c r="N29" s="1"/>
    </row>
    <row r="30" spans="1:14" x14ac:dyDescent="0.3">
      <c r="A30" t="s">
        <v>5</v>
      </c>
      <c r="B30">
        <v>172.31</v>
      </c>
      <c r="C30">
        <v>0.49199999999999999</v>
      </c>
      <c r="D30">
        <v>13.24</v>
      </c>
      <c r="E30">
        <v>0.2</v>
      </c>
      <c r="F30">
        <v>303</v>
      </c>
      <c r="G30">
        <v>8.3000000000000007</v>
      </c>
      <c r="H30">
        <v>99.425296000000003</v>
      </c>
      <c r="J30">
        <v>24.229757126196606</v>
      </c>
      <c r="K30">
        <v>375.97769460664699</v>
      </c>
      <c r="L30">
        <v>375.977694369017</v>
      </c>
      <c r="M30">
        <v>1.0000000006320322</v>
      </c>
      <c r="N30" s="1"/>
    </row>
    <row r="31" spans="1:14" x14ac:dyDescent="0.3">
      <c r="A31" t="s">
        <v>5</v>
      </c>
      <c r="B31">
        <v>172.31</v>
      </c>
      <c r="C31">
        <v>0.49199999999999999</v>
      </c>
      <c r="D31">
        <v>13.24</v>
      </c>
      <c r="E31">
        <v>0.2</v>
      </c>
      <c r="F31">
        <v>303</v>
      </c>
      <c r="G31">
        <v>8.3000000000000007</v>
      </c>
      <c r="H31">
        <v>149.41432</v>
      </c>
      <c r="J31">
        <v>43.976700642123419</v>
      </c>
      <c r="K31">
        <v>527.188095502539</v>
      </c>
      <c r="L31">
        <v>527.18809678938294</v>
      </c>
      <c r="M31">
        <v>0.99999999755904212</v>
      </c>
      <c r="N31" s="1"/>
    </row>
    <row r="32" spans="1:14" x14ac:dyDescent="0.3">
      <c r="A32" t="s">
        <v>5</v>
      </c>
      <c r="B32">
        <v>172.31</v>
      </c>
      <c r="C32">
        <v>0.49199999999999999</v>
      </c>
      <c r="D32">
        <v>13.24</v>
      </c>
      <c r="E32">
        <v>0.2</v>
      </c>
      <c r="F32">
        <v>303</v>
      </c>
      <c r="G32">
        <v>8.3000000000000007</v>
      </c>
      <c r="H32">
        <v>200.502253</v>
      </c>
      <c r="J32">
        <v>70.0367058081887</v>
      </c>
      <c r="K32">
        <v>652.32773419389605</v>
      </c>
      <c r="L32">
        <v>652.32773595905655</v>
      </c>
      <c r="M32">
        <v>0.99999999729405875</v>
      </c>
      <c r="N32" s="1"/>
    </row>
    <row r="33" spans="1:14" x14ac:dyDescent="0.3">
      <c r="A33" t="s">
        <v>7</v>
      </c>
      <c r="B33">
        <v>1281</v>
      </c>
      <c r="C33">
        <v>0.62</v>
      </c>
      <c r="D33" t="s">
        <v>8</v>
      </c>
      <c r="E33">
        <v>0.17</v>
      </c>
      <c r="F33">
        <v>303</v>
      </c>
      <c r="G33">
        <v>1</v>
      </c>
      <c r="H33">
        <v>200</v>
      </c>
      <c r="I33">
        <v>2</v>
      </c>
      <c r="J33">
        <v>184.312872</v>
      </c>
      <c r="K33">
        <v>92.277226395238102</v>
      </c>
      <c r="L33">
        <v>92.277223529411771</v>
      </c>
      <c r="M33">
        <v>1.000000031056703</v>
      </c>
      <c r="N33" s="1" t="s">
        <v>9</v>
      </c>
    </row>
    <row r="34" spans="1:14" x14ac:dyDescent="0.3">
      <c r="A34" t="s">
        <v>7</v>
      </c>
      <c r="B34">
        <v>1281</v>
      </c>
      <c r="C34">
        <v>0.62</v>
      </c>
      <c r="D34" t="s">
        <v>8</v>
      </c>
      <c r="E34">
        <v>0.17</v>
      </c>
      <c r="F34">
        <v>303</v>
      </c>
      <c r="G34">
        <v>1</v>
      </c>
      <c r="H34">
        <v>200</v>
      </c>
      <c r="I34">
        <v>2.5129776583373</v>
      </c>
      <c r="J34">
        <v>184.49802</v>
      </c>
      <c r="K34">
        <v>91.188118967695004</v>
      </c>
      <c r="L34">
        <v>91.188117647058831</v>
      </c>
      <c r="M34">
        <v>1.0000000144825467</v>
      </c>
      <c r="N34" s="1"/>
    </row>
    <row r="35" spans="1:14" x14ac:dyDescent="0.3">
      <c r="A35" t="s">
        <v>7</v>
      </c>
      <c r="B35">
        <v>1281</v>
      </c>
      <c r="C35">
        <v>0.62</v>
      </c>
      <c r="D35" t="s">
        <v>8</v>
      </c>
      <c r="E35">
        <v>0.17</v>
      </c>
      <c r="F35">
        <v>303</v>
      </c>
      <c r="G35">
        <v>1</v>
      </c>
      <c r="H35">
        <v>200</v>
      </c>
      <c r="I35">
        <v>3.0015272766579102</v>
      </c>
      <c r="J35">
        <v>184.649505</v>
      </c>
      <c r="K35">
        <v>90.297028325575695</v>
      </c>
      <c r="L35">
        <v>90.297029411764669</v>
      </c>
      <c r="M35">
        <v>0.99999998797093348</v>
      </c>
      <c r="N35" s="1"/>
    </row>
    <row r="36" spans="1:14" x14ac:dyDescent="0.3">
      <c r="A36" t="s">
        <v>7</v>
      </c>
      <c r="B36">
        <v>1281</v>
      </c>
      <c r="C36">
        <v>0.62</v>
      </c>
      <c r="D36" t="s">
        <v>8</v>
      </c>
      <c r="E36">
        <v>0.17</v>
      </c>
      <c r="F36">
        <v>303</v>
      </c>
      <c r="G36">
        <v>1</v>
      </c>
      <c r="H36">
        <v>200</v>
      </c>
      <c r="I36">
        <v>3.9786265132991399</v>
      </c>
      <c r="J36">
        <v>185.60891100000001</v>
      </c>
      <c r="K36">
        <v>84.653464960116196</v>
      </c>
      <c r="L36">
        <v>84.653464705882314</v>
      </c>
      <c r="M36">
        <v>1.0000000030032308</v>
      </c>
      <c r="N36" s="1"/>
    </row>
    <row r="37" spans="1:14" x14ac:dyDescent="0.3">
      <c r="A37" t="s">
        <v>7</v>
      </c>
      <c r="B37">
        <v>1281</v>
      </c>
      <c r="C37">
        <v>0.62</v>
      </c>
      <c r="D37" t="s">
        <v>8</v>
      </c>
      <c r="E37">
        <v>0.17</v>
      </c>
      <c r="F37">
        <v>303</v>
      </c>
      <c r="G37">
        <v>1</v>
      </c>
      <c r="H37">
        <v>200</v>
      </c>
      <c r="I37">
        <v>4.5404583880009497</v>
      </c>
      <c r="J37">
        <v>186.433663</v>
      </c>
      <c r="K37">
        <v>79.8019800671361</v>
      </c>
      <c r="L37">
        <v>79.801982352941195</v>
      </c>
      <c r="M37">
        <v>0.9999999713565374</v>
      </c>
      <c r="N37" s="1"/>
    </row>
    <row r="38" spans="1:14" x14ac:dyDescent="0.3">
      <c r="A38" t="s">
        <v>7</v>
      </c>
      <c r="B38">
        <v>1281</v>
      </c>
      <c r="C38">
        <v>0.62</v>
      </c>
      <c r="D38" t="s">
        <v>8</v>
      </c>
      <c r="E38">
        <v>0.17</v>
      </c>
      <c r="F38">
        <v>303</v>
      </c>
      <c r="G38">
        <v>1</v>
      </c>
      <c r="H38">
        <v>200</v>
      </c>
      <c r="I38">
        <v>5.5053440705510397</v>
      </c>
      <c r="J38">
        <v>187.207921</v>
      </c>
      <c r="K38">
        <v>75.247524129219698</v>
      </c>
      <c r="L38">
        <v>75.247523529411765</v>
      </c>
      <c r="M38">
        <v>1.000000007971132</v>
      </c>
      <c r="N38" s="1"/>
    </row>
    <row r="39" spans="1:14" x14ac:dyDescent="0.3">
      <c r="A39" t="s">
        <v>7</v>
      </c>
      <c r="B39">
        <v>1281</v>
      </c>
      <c r="C39">
        <v>0.62</v>
      </c>
      <c r="D39" t="s">
        <v>8</v>
      </c>
      <c r="E39">
        <v>0.17</v>
      </c>
      <c r="F39">
        <v>303</v>
      </c>
      <c r="G39">
        <v>1</v>
      </c>
      <c r="H39">
        <v>200</v>
      </c>
      <c r="I39">
        <v>6.0061072429627798</v>
      </c>
      <c r="J39">
        <v>188.04950500000001</v>
      </c>
      <c r="K39">
        <v>70.297028955063695</v>
      </c>
      <c r="L39">
        <v>70.29702941176464</v>
      </c>
      <c r="M39">
        <v>0.99999999350326818</v>
      </c>
      <c r="N39" s="1"/>
    </row>
    <row r="40" spans="1:14" x14ac:dyDescent="0.3">
      <c r="A40" t="s">
        <v>7</v>
      </c>
      <c r="B40">
        <v>1281</v>
      </c>
      <c r="C40">
        <v>0.62</v>
      </c>
      <c r="D40" t="s">
        <v>8</v>
      </c>
      <c r="E40">
        <v>0.17</v>
      </c>
      <c r="F40">
        <v>303</v>
      </c>
      <c r="G40">
        <v>1</v>
      </c>
      <c r="H40">
        <v>200</v>
      </c>
      <c r="I40">
        <v>6.9954200336951304</v>
      </c>
      <c r="J40">
        <v>188.99207999999999</v>
      </c>
      <c r="K40">
        <v>64.752472093852106</v>
      </c>
      <c r="L40">
        <v>64.752470588235369</v>
      </c>
      <c r="M40">
        <v>1.0000000232518809</v>
      </c>
      <c r="N40" s="1"/>
    </row>
    <row r="41" spans="1:14" x14ac:dyDescent="0.3">
      <c r="A41" t="s">
        <v>7</v>
      </c>
      <c r="B41">
        <v>1281</v>
      </c>
      <c r="C41">
        <v>0.62</v>
      </c>
      <c r="D41" t="s">
        <v>8</v>
      </c>
      <c r="E41">
        <v>0.17</v>
      </c>
      <c r="F41">
        <v>303</v>
      </c>
      <c r="G41">
        <v>1</v>
      </c>
      <c r="H41">
        <v>200</v>
      </c>
      <c r="I41">
        <v>7.4961832061068598</v>
      </c>
      <c r="J41">
        <v>189.8</v>
      </c>
      <c r="K41">
        <v>59.999997482047903</v>
      </c>
      <c r="L41">
        <v>59.999999999999929</v>
      </c>
      <c r="M41">
        <v>0.99999995803413289</v>
      </c>
      <c r="N41" s="1"/>
    </row>
    <row r="42" spans="1:14" x14ac:dyDescent="0.3">
      <c r="A42" t="s">
        <v>7</v>
      </c>
      <c r="B42">
        <v>1281</v>
      </c>
      <c r="C42">
        <v>0.62</v>
      </c>
      <c r="D42" t="s">
        <v>8</v>
      </c>
      <c r="E42">
        <v>0.17</v>
      </c>
      <c r="F42">
        <v>303</v>
      </c>
      <c r="G42">
        <v>1</v>
      </c>
      <c r="H42">
        <v>200</v>
      </c>
      <c r="I42">
        <v>8.5099240368559101</v>
      </c>
      <c r="J42">
        <v>190.74257399999999</v>
      </c>
      <c r="K42">
        <v>54.455444397764303</v>
      </c>
      <c r="L42">
        <v>54.45544705882358</v>
      </c>
      <c r="M42">
        <v>0.99999995113327644</v>
      </c>
      <c r="N42" s="1"/>
    </row>
    <row r="43" spans="1:14" x14ac:dyDescent="0.3">
      <c r="A43" t="s">
        <v>7</v>
      </c>
      <c r="B43">
        <v>1281</v>
      </c>
      <c r="C43">
        <v>0.62</v>
      </c>
      <c r="D43" t="s">
        <v>8</v>
      </c>
      <c r="E43">
        <v>0.17</v>
      </c>
      <c r="F43">
        <v>303</v>
      </c>
      <c r="G43">
        <v>1</v>
      </c>
      <c r="H43">
        <v>200</v>
      </c>
      <c r="I43">
        <v>9.0473288033754695</v>
      </c>
      <c r="J43">
        <v>191.51683199999999</v>
      </c>
      <c r="K43">
        <v>49.900986571384003</v>
      </c>
      <c r="L43">
        <v>49.90098823529415</v>
      </c>
      <c r="M43">
        <v>0.99999996665576762</v>
      </c>
      <c r="N43" s="1"/>
    </row>
    <row r="44" spans="1:14" x14ac:dyDescent="0.3">
      <c r="A44" t="s">
        <v>7</v>
      </c>
      <c r="B44">
        <v>1281</v>
      </c>
      <c r="C44">
        <v>0.62</v>
      </c>
      <c r="D44" t="s">
        <v>8</v>
      </c>
      <c r="E44">
        <v>0.17</v>
      </c>
      <c r="F44">
        <v>303</v>
      </c>
      <c r="G44">
        <v>1</v>
      </c>
      <c r="H44">
        <v>200</v>
      </c>
      <c r="I44">
        <v>9.4748087875715594</v>
      </c>
      <c r="J44">
        <v>192.35841600000001</v>
      </c>
      <c r="K44">
        <v>44.950495174156003</v>
      </c>
      <c r="L44">
        <v>44.950494117647025</v>
      </c>
      <c r="M44">
        <v>1.0000000235038347</v>
      </c>
      <c r="N44" s="1"/>
    </row>
    <row r="45" spans="1:14" x14ac:dyDescent="0.3">
      <c r="A45" t="s">
        <v>7</v>
      </c>
      <c r="B45">
        <v>1281</v>
      </c>
      <c r="C45">
        <v>0.62</v>
      </c>
      <c r="D45" t="s">
        <v>8</v>
      </c>
      <c r="E45">
        <v>0.17</v>
      </c>
      <c r="F45">
        <v>303</v>
      </c>
      <c r="G45">
        <v>1</v>
      </c>
      <c r="H45">
        <v>200</v>
      </c>
      <c r="I45">
        <v>9.9877873777433201</v>
      </c>
      <c r="J45">
        <v>193.26732699999999</v>
      </c>
      <c r="K45">
        <v>39.6039588752962</v>
      </c>
      <c r="L45">
        <v>39.603958823529439</v>
      </c>
      <c r="M45">
        <v>1.0000000013071109</v>
      </c>
      <c r="N45" s="1"/>
    </row>
    <row r="46" spans="1:14" x14ac:dyDescent="0.3">
      <c r="A46" t="s">
        <v>7</v>
      </c>
      <c r="B46">
        <v>1281</v>
      </c>
      <c r="C46">
        <v>0.62</v>
      </c>
      <c r="D46">
        <v>1.2</v>
      </c>
      <c r="E46">
        <v>0.17</v>
      </c>
      <c r="F46">
        <v>303</v>
      </c>
      <c r="G46">
        <v>1</v>
      </c>
      <c r="H46">
        <v>143.51381599999999</v>
      </c>
      <c r="I46">
        <v>2</v>
      </c>
      <c r="J46">
        <v>134.670463146906</v>
      </c>
      <c r="K46">
        <v>52.019721984677901</v>
      </c>
      <c r="L46">
        <v>52.019722665258762</v>
      </c>
      <c r="M46">
        <v>0.99999998691686875</v>
      </c>
      <c r="N46" s="1"/>
    </row>
    <row r="47" spans="1:14" x14ac:dyDescent="0.3">
      <c r="A47" t="s">
        <v>7</v>
      </c>
      <c r="B47">
        <v>1281</v>
      </c>
      <c r="C47">
        <v>0.62</v>
      </c>
      <c r="D47">
        <v>1.2</v>
      </c>
      <c r="E47">
        <v>0.17</v>
      </c>
      <c r="F47">
        <v>303</v>
      </c>
      <c r="G47">
        <v>1</v>
      </c>
      <c r="H47">
        <v>167.50840600000001</v>
      </c>
      <c r="I47">
        <v>2</v>
      </c>
      <c r="J47">
        <v>157.59313354447099</v>
      </c>
      <c r="K47">
        <v>58.325134631329398</v>
      </c>
      <c r="L47">
        <v>58.325132091347179</v>
      </c>
      <c r="M47">
        <v>1.0000000435486749</v>
      </c>
      <c r="N47" s="1"/>
    </row>
    <row r="48" spans="1:14" x14ac:dyDescent="0.3">
      <c r="A48" t="s">
        <v>7</v>
      </c>
      <c r="B48">
        <v>1281</v>
      </c>
      <c r="C48">
        <v>0.62</v>
      </c>
      <c r="D48">
        <v>1.2</v>
      </c>
      <c r="E48">
        <v>0.17</v>
      </c>
      <c r="F48">
        <v>303</v>
      </c>
      <c r="G48">
        <v>1</v>
      </c>
      <c r="H48">
        <v>200.16590600000001</v>
      </c>
      <c r="I48">
        <v>2</v>
      </c>
      <c r="J48">
        <v>189.11171653190399</v>
      </c>
      <c r="K48">
        <v>65.024644964202594</v>
      </c>
      <c r="L48">
        <v>65.024643929976534</v>
      </c>
      <c r="M48">
        <v>1.0000000159051399</v>
      </c>
      <c r="N48" s="1"/>
    </row>
    <row r="49" spans="1:14" x14ac:dyDescent="0.3">
      <c r="A49" t="s">
        <v>7</v>
      </c>
      <c r="B49">
        <v>1281</v>
      </c>
      <c r="C49">
        <v>0.62</v>
      </c>
      <c r="D49">
        <v>1.2</v>
      </c>
      <c r="E49">
        <v>0.17</v>
      </c>
      <c r="F49">
        <v>303</v>
      </c>
      <c r="G49">
        <v>1</v>
      </c>
      <c r="H49">
        <v>261.25002499999999</v>
      </c>
      <c r="I49">
        <v>2</v>
      </c>
      <c r="J49">
        <v>247.85100818957599</v>
      </c>
      <c r="K49">
        <v>78.817748282881197</v>
      </c>
      <c r="L49">
        <v>78.817745943670587</v>
      </c>
      <c r="M49">
        <v>1.0000000296787301</v>
      </c>
      <c r="N49" s="1"/>
    </row>
    <row r="50" spans="1:14" x14ac:dyDescent="0.3">
      <c r="A50" t="s">
        <v>7</v>
      </c>
      <c r="B50">
        <v>1281</v>
      </c>
      <c r="C50">
        <v>0.62</v>
      </c>
      <c r="D50">
        <v>1.2</v>
      </c>
      <c r="E50">
        <v>0.17</v>
      </c>
      <c r="F50">
        <v>303</v>
      </c>
      <c r="G50">
        <v>1</v>
      </c>
      <c r="H50">
        <v>407.19631299999998</v>
      </c>
      <c r="I50">
        <v>2</v>
      </c>
      <c r="J50">
        <v>391.11749323000498</v>
      </c>
      <c r="K50">
        <v>94.581294932799494</v>
      </c>
      <c r="L50">
        <v>94.581292764676419</v>
      </c>
      <c r="M50">
        <v>1.0000000229233816</v>
      </c>
      <c r="N50" s="1"/>
    </row>
    <row r="51" spans="1:14" x14ac:dyDescent="0.3">
      <c r="A51" t="s">
        <v>7</v>
      </c>
      <c r="B51">
        <v>1281</v>
      </c>
      <c r="C51">
        <v>0.62</v>
      </c>
      <c r="D51">
        <v>1.2</v>
      </c>
      <c r="E51">
        <v>0.17</v>
      </c>
      <c r="F51">
        <v>313</v>
      </c>
      <c r="G51">
        <v>1</v>
      </c>
      <c r="H51">
        <v>140.74095299999999</v>
      </c>
      <c r="I51">
        <v>2</v>
      </c>
      <c r="J51">
        <v>131.428636823381</v>
      </c>
      <c r="K51">
        <v>54.778330621781997</v>
      </c>
      <c r="L51">
        <v>54.778330450699954</v>
      </c>
      <c r="M51">
        <v>1.0000000031231702</v>
      </c>
      <c r="N51" s="1"/>
    </row>
    <row r="52" spans="1:14" x14ac:dyDescent="0.3">
      <c r="A52" t="s">
        <v>7</v>
      </c>
      <c r="B52">
        <v>1281</v>
      </c>
      <c r="C52">
        <v>0.62</v>
      </c>
      <c r="D52">
        <v>1.2</v>
      </c>
      <c r="E52">
        <v>0.17</v>
      </c>
      <c r="F52">
        <v>313</v>
      </c>
      <c r="G52">
        <v>1</v>
      </c>
      <c r="H52">
        <v>155.808955</v>
      </c>
      <c r="I52">
        <v>2</v>
      </c>
      <c r="J52">
        <v>144.28580147879401</v>
      </c>
      <c r="K52">
        <v>67.783253601306697</v>
      </c>
      <c r="L52">
        <v>67.783256007094025</v>
      </c>
      <c r="M52">
        <v>0.99999996450764583</v>
      </c>
      <c r="N52" s="1"/>
    </row>
    <row r="53" spans="1:14" x14ac:dyDescent="0.3">
      <c r="A53" t="s">
        <v>7</v>
      </c>
      <c r="B53">
        <v>1281</v>
      </c>
      <c r="C53">
        <v>0.62</v>
      </c>
      <c r="D53">
        <v>1.2</v>
      </c>
      <c r="E53">
        <v>0.17</v>
      </c>
      <c r="F53">
        <v>313</v>
      </c>
      <c r="G53">
        <v>1</v>
      </c>
      <c r="H53">
        <v>180.474943</v>
      </c>
      <c r="I53">
        <v>2</v>
      </c>
      <c r="J53">
        <v>167.142922537667</v>
      </c>
      <c r="K53">
        <v>78.423650596659499</v>
      </c>
      <c r="L53">
        <v>78.42364977842935</v>
      </c>
      <c r="M53">
        <v>1.0000000104334617</v>
      </c>
      <c r="N53" s="1"/>
    </row>
    <row r="54" spans="1:14" x14ac:dyDescent="0.3">
      <c r="A54" t="s">
        <v>7</v>
      </c>
      <c r="B54">
        <v>1281</v>
      </c>
      <c r="C54">
        <v>0.62</v>
      </c>
      <c r="D54">
        <v>1.2</v>
      </c>
      <c r="E54">
        <v>0.17</v>
      </c>
      <c r="F54">
        <v>313</v>
      </c>
      <c r="G54">
        <v>1</v>
      </c>
      <c r="H54">
        <v>249.98423600000001</v>
      </c>
      <c r="I54">
        <v>2</v>
      </c>
      <c r="J54">
        <v>235.71428571428501</v>
      </c>
      <c r="K54">
        <v>83.940882904157206</v>
      </c>
      <c r="L54">
        <v>83.940884033617635</v>
      </c>
      <c r="M54">
        <v>0.99999998654457312</v>
      </c>
      <c r="N54" s="1"/>
    </row>
    <row r="55" spans="1:14" x14ac:dyDescent="0.3">
      <c r="A55" t="s">
        <v>7</v>
      </c>
      <c r="B55">
        <v>1281</v>
      </c>
      <c r="C55">
        <v>0.62</v>
      </c>
      <c r="D55">
        <v>1.2</v>
      </c>
      <c r="E55">
        <v>0.17</v>
      </c>
      <c r="F55">
        <v>313</v>
      </c>
      <c r="G55">
        <v>1</v>
      </c>
      <c r="H55">
        <v>392.99905799999999</v>
      </c>
      <c r="I55">
        <v>2</v>
      </c>
      <c r="J55">
        <v>375.71432931082501</v>
      </c>
      <c r="K55">
        <v>101.674872885315</v>
      </c>
      <c r="L55">
        <v>101.67487464220578</v>
      </c>
      <c r="M55">
        <v>0.99999998272050206</v>
      </c>
      <c r="N55" s="1"/>
    </row>
    <row r="56" spans="1:14" x14ac:dyDescent="0.3">
      <c r="A56" t="s">
        <v>7</v>
      </c>
      <c r="B56">
        <v>1281</v>
      </c>
      <c r="C56">
        <v>0.62</v>
      </c>
      <c r="D56">
        <v>1.2</v>
      </c>
      <c r="E56">
        <v>0.17</v>
      </c>
      <c r="F56">
        <v>323</v>
      </c>
      <c r="G56">
        <v>1</v>
      </c>
      <c r="H56">
        <v>128.47341</v>
      </c>
      <c r="I56">
        <v>2</v>
      </c>
      <c r="J56">
        <v>116.17660522460901</v>
      </c>
      <c r="K56">
        <v>72.334145370243704</v>
      </c>
      <c r="L56">
        <v>72.334145737594085</v>
      </c>
      <c r="M56">
        <v>0.9999999949214804</v>
      </c>
      <c r="N56" s="1"/>
    </row>
    <row r="57" spans="1:14" x14ac:dyDescent="0.3">
      <c r="A57" t="s">
        <v>7</v>
      </c>
      <c r="B57">
        <v>1281</v>
      </c>
      <c r="C57">
        <v>0.62</v>
      </c>
      <c r="D57">
        <v>1.2</v>
      </c>
      <c r="E57">
        <v>0.17</v>
      </c>
      <c r="F57">
        <v>323</v>
      </c>
      <c r="G57">
        <v>1</v>
      </c>
      <c r="H57">
        <v>148.72699600000001</v>
      </c>
      <c r="I57">
        <v>2</v>
      </c>
      <c r="J57">
        <v>135.294072768267</v>
      </c>
      <c r="K57">
        <v>79.017195240476099</v>
      </c>
      <c r="L57">
        <v>79.017195480782433</v>
      </c>
      <c r="M57">
        <v>0.99999999695880959</v>
      </c>
      <c r="N57" s="1"/>
    </row>
    <row r="58" spans="1:14" x14ac:dyDescent="0.3">
      <c r="A58" t="s">
        <v>7</v>
      </c>
      <c r="B58">
        <v>1281</v>
      </c>
      <c r="C58">
        <v>0.62</v>
      </c>
      <c r="D58">
        <v>1.2</v>
      </c>
      <c r="E58">
        <v>0.17</v>
      </c>
      <c r="F58">
        <v>323</v>
      </c>
      <c r="G58">
        <v>1</v>
      </c>
      <c r="H58">
        <v>182.48355799999999</v>
      </c>
      <c r="I58">
        <v>2</v>
      </c>
      <c r="J58">
        <v>167.64719345990301</v>
      </c>
      <c r="K58">
        <v>87.272732725946597</v>
      </c>
      <c r="L58">
        <v>87.272732588805752</v>
      </c>
      <c r="M58">
        <v>1.0000000015714055</v>
      </c>
      <c r="N58" s="1"/>
    </row>
    <row r="59" spans="1:14" x14ac:dyDescent="0.3">
      <c r="A59" t="s">
        <v>7</v>
      </c>
      <c r="B59">
        <v>1281</v>
      </c>
      <c r="C59">
        <v>0.62</v>
      </c>
      <c r="D59">
        <v>1.2</v>
      </c>
      <c r="E59">
        <v>0.17</v>
      </c>
      <c r="F59">
        <v>323</v>
      </c>
      <c r="G59">
        <v>1</v>
      </c>
      <c r="H59">
        <v>227.40217200000001</v>
      </c>
      <c r="I59">
        <v>2</v>
      </c>
      <c r="J59">
        <v>207.35303093405301</v>
      </c>
      <c r="K59">
        <v>117.936121252264</v>
      </c>
      <c r="L59">
        <v>117.93612391733527</v>
      </c>
      <c r="M59">
        <v>0.99999997740241775</v>
      </c>
      <c r="N59" s="1"/>
    </row>
    <row r="60" spans="1:14" x14ac:dyDescent="0.3">
      <c r="A60" t="s">
        <v>7</v>
      </c>
      <c r="B60">
        <v>1281</v>
      </c>
      <c r="C60">
        <v>0.62</v>
      </c>
      <c r="D60">
        <v>1.2</v>
      </c>
      <c r="E60">
        <v>0.17</v>
      </c>
      <c r="F60">
        <v>323</v>
      </c>
      <c r="G60">
        <v>1</v>
      </c>
      <c r="H60">
        <v>388.02935300000001</v>
      </c>
      <c r="I60">
        <v>2</v>
      </c>
      <c r="J60">
        <v>363.23524923885498</v>
      </c>
      <c r="K60">
        <v>145.84767144826901</v>
      </c>
      <c r="L60">
        <v>145.84766918320611</v>
      </c>
      <c r="M60">
        <v>1.0000000155303332</v>
      </c>
      <c r="N60" s="1"/>
    </row>
    <row r="61" spans="1:14" x14ac:dyDescent="0.3">
      <c r="A61" t="s">
        <v>10</v>
      </c>
      <c r="B61">
        <v>1238</v>
      </c>
      <c r="C61">
        <v>0.54</v>
      </c>
      <c r="D61">
        <v>1.73</v>
      </c>
      <c r="E61">
        <v>1</v>
      </c>
      <c r="F61">
        <v>298</v>
      </c>
      <c r="G61">
        <v>0.5</v>
      </c>
      <c r="H61">
        <v>30</v>
      </c>
      <c r="I61">
        <v>4.1536593543008804</v>
      </c>
      <c r="J61">
        <v>13.4682867176311</v>
      </c>
      <c r="K61">
        <f>H61-J61</f>
        <v>16.531713282368898</v>
      </c>
      <c r="L61">
        <v>16.531713282368898</v>
      </c>
      <c r="M61">
        <v>1</v>
      </c>
      <c r="N61" s="1" t="s">
        <v>11</v>
      </c>
    </row>
    <row r="62" spans="1:14" x14ac:dyDescent="0.3">
      <c r="A62" t="s">
        <v>10</v>
      </c>
      <c r="B62">
        <v>1238</v>
      </c>
      <c r="C62">
        <v>0.54</v>
      </c>
      <c r="D62">
        <v>1.73</v>
      </c>
      <c r="E62">
        <v>1</v>
      </c>
      <c r="F62">
        <v>298</v>
      </c>
      <c r="G62">
        <v>0.5</v>
      </c>
      <c r="H62">
        <v>30</v>
      </c>
      <c r="I62">
        <v>5.1189006986163497</v>
      </c>
      <c r="J62">
        <v>12.978609310933299</v>
      </c>
      <c r="K62">
        <f>H62-J62</f>
        <v>17.021390689066699</v>
      </c>
      <c r="L62">
        <v>17.021390689066699</v>
      </c>
      <c r="M62">
        <v>1</v>
      </c>
      <c r="N62" s="1"/>
    </row>
    <row r="63" spans="1:14" x14ac:dyDescent="0.3">
      <c r="A63" t="s">
        <v>10</v>
      </c>
      <c r="B63">
        <v>1238</v>
      </c>
      <c r="C63">
        <v>0.54</v>
      </c>
      <c r="D63">
        <v>1.73</v>
      </c>
      <c r="E63">
        <v>1</v>
      </c>
      <c r="F63">
        <v>298</v>
      </c>
      <c r="G63">
        <v>0.5</v>
      </c>
      <c r="H63">
        <v>30</v>
      </c>
      <c r="I63">
        <v>6.9997281648408398</v>
      </c>
      <c r="J63">
        <v>14.114519641374001</v>
      </c>
      <c r="K63">
        <f>H63-J63</f>
        <v>15.885480358625999</v>
      </c>
      <c r="L63">
        <v>15.885480358625999</v>
      </c>
      <c r="M63">
        <v>1</v>
      </c>
      <c r="N63" s="1"/>
    </row>
    <row r="64" spans="1:14" x14ac:dyDescent="0.3">
      <c r="A64" t="s">
        <v>10</v>
      </c>
      <c r="B64">
        <v>1238</v>
      </c>
      <c r="C64">
        <v>0.54</v>
      </c>
      <c r="D64">
        <v>1.73</v>
      </c>
      <c r="E64">
        <v>1</v>
      </c>
      <c r="F64">
        <v>298</v>
      </c>
      <c r="G64">
        <v>0.5</v>
      </c>
      <c r="H64">
        <v>30</v>
      </c>
      <c r="I64">
        <v>9.6340826922554097</v>
      </c>
      <c r="J64">
        <v>17.082207995186899</v>
      </c>
      <c r="K64">
        <f>H64-J64</f>
        <v>12.917792004813101</v>
      </c>
      <c r="L64">
        <v>12.917792004813101</v>
      </c>
      <c r="M64">
        <v>1</v>
      </c>
      <c r="N64" s="1"/>
    </row>
    <row r="65" spans="1:14" x14ac:dyDescent="0.3">
      <c r="A65" t="s">
        <v>10</v>
      </c>
      <c r="B65">
        <v>1238</v>
      </c>
      <c r="C65">
        <v>0.54</v>
      </c>
      <c r="D65">
        <v>1.73</v>
      </c>
      <c r="E65">
        <v>1</v>
      </c>
      <c r="F65">
        <v>298</v>
      </c>
      <c r="G65">
        <v>0.5</v>
      </c>
      <c r="H65">
        <v>30</v>
      </c>
      <c r="I65">
        <v>11.958635749947801</v>
      </c>
      <c r="J65">
        <v>24.459543412439398</v>
      </c>
      <c r="K65">
        <f>H65-J65</f>
        <v>5.5404565875606018</v>
      </c>
      <c r="L65">
        <v>5.5404565875606018</v>
      </c>
      <c r="M65">
        <v>1</v>
      </c>
      <c r="N65" s="1"/>
    </row>
    <row r="66" spans="1:14" x14ac:dyDescent="0.3">
      <c r="A66" t="s">
        <v>10</v>
      </c>
      <c r="B66">
        <v>1238</v>
      </c>
      <c r="C66">
        <v>0.54</v>
      </c>
      <c r="D66">
        <v>1.73</v>
      </c>
      <c r="E66">
        <v>1</v>
      </c>
      <c r="F66">
        <v>298</v>
      </c>
      <c r="G66">
        <v>72</v>
      </c>
      <c r="H66">
        <v>7.7489999999999997</v>
      </c>
      <c r="I66">
        <v>7</v>
      </c>
      <c r="J66">
        <v>3.9800000000000002E-2</v>
      </c>
      <c r="K66">
        <v>7.7089999999999996</v>
      </c>
      <c r="L66">
        <v>7.7092000000000001</v>
      </c>
      <c r="M66">
        <v>0.99997405697089181</v>
      </c>
      <c r="N66" s="1"/>
    </row>
    <row r="67" spans="1:14" x14ac:dyDescent="0.3">
      <c r="A67" t="s">
        <v>10</v>
      </c>
      <c r="B67">
        <v>1238</v>
      </c>
      <c r="C67">
        <v>0.54</v>
      </c>
      <c r="D67">
        <v>1.73</v>
      </c>
      <c r="E67">
        <v>1</v>
      </c>
      <c r="F67">
        <v>298</v>
      </c>
      <c r="G67">
        <v>72</v>
      </c>
      <c r="H67">
        <v>16.077000000000002</v>
      </c>
      <c r="I67">
        <v>7</v>
      </c>
      <c r="J67">
        <v>0.35799999999999998</v>
      </c>
      <c r="K67">
        <v>15.718999999999999</v>
      </c>
      <c r="L67">
        <v>15.719000000000001</v>
      </c>
      <c r="M67">
        <v>0.99999999999999989</v>
      </c>
      <c r="N67" s="1"/>
    </row>
    <row r="68" spans="1:14" x14ac:dyDescent="0.3">
      <c r="A68" t="s">
        <v>10</v>
      </c>
      <c r="B68">
        <v>1238</v>
      </c>
      <c r="C68">
        <v>0.54</v>
      </c>
      <c r="D68">
        <v>1.73</v>
      </c>
      <c r="E68">
        <v>1</v>
      </c>
      <c r="F68">
        <v>298</v>
      </c>
      <c r="G68">
        <v>72</v>
      </c>
      <c r="H68">
        <v>31.248000000000001</v>
      </c>
      <c r="I68">
        <v>7</v>
      </c>
      <c r="J68">
        <v>0.78</v>
      </c>
      <c r="K68">
        <v>30.468</v>
      </c>
      <c r="L68">
        <v>30.468</v>
      </c>
      <c r="M68">
        <v>1</v>
      </c>
      <c r="N68" s="1"/>
    </row>
    <row r="69" spans="1:14" x14ac:dyDescent="0.3">
      <c r="A69" t="s">
        <v>10</v>
      </c>
      <c r="B69">
        <v>1238</v>
      </c>
      <c r="C69">
        <v>0.54</v>
      </c>
      <c r="D69">
        <v>1.73</v>
      </c>
      <c r="E69">
        <v>1</v>
      </c>
      <c r="F69">
        <v>298</v>
      </c>
      <c r="G69">
        <v>72</v>
      </c>
      <c r="H69">
        <v>64.481999999999999</v>
      </c>
      <c r="I69">
        <v>7</v>
      </c>
      <c r="J69">
        <v>2.577</v>
      </c>
      <c r="K69">
        <v>61.905000000000001</v>
      </c>
      <c r="L69">
        <v>61.905000000000001</v>
      </c>
      <c r="M69">
        <v>1</v>
      </c>
      <c r="N69" s="1"/>
    </row>
    <row r="70" spans="1:14" x14ac:dyDescent="0.3">
      <c r="A70" t="s">
        <v>10</v>
      </c>
      <c r="B70">
        <v>1238</v>
      </c>
      <c r="C70">
        <v>0.54</v>
      </c>
      <c r="D70">
        <v>1.73</v>
      </c>
      <c r="E70">
        <v>1</v>
      </c>
      <c r="F70">
        <v>298</v>
      </c>
      <c r="G70">
        <v>72</v>
      </c>
      <c r="H70">
        <v>128.07599999999999</v>
      </c>
      <c r="I70">
        <v>7</v>
      </c>
      <c r="J70">
        <v>28.483000000000001</v>
      </c>
      <c r="K70">
        <v>99.593000000000004</v>
      </c>
      <c r="L70">
        <v>99.592999999999989</v>
      </c>
      <c r="M70">
        <v>1.0000000000000002</v>
      </c>
      <c r="N70" s="1"/>
    </row>
    <row r="71" spans="1:14" x14ac:dyDescent="0.3">
      <c r="A71" t="s">
        <v>10</v>
      </c>
      <c r="B71">
        <v>1238</v>
      </c>
      <c r="C71">
        <v>0.54</v>
      </c>
      <c r="D71">
        <v>1.73</v>
      </c>
      <c r="E71">
        <v>1</v>
      </c>
      <c r="F71">
        <v>298</v>
      </c>
      <c r="G71">
        <v>72</v>
      </c>
      <c r="H71">
        <v>253.72499999999999</v>
      </c>
      <c r="I71">
        <v>7</v>
      </c>
      <c r="J71">
        <v>156.559</v>
      </c>
      <c r="K71">
        <v>97.165999999999997</v>
      </c>
      <c r="L71">
        <v>97.165999999999997</v>
      </c>
      <c r="M71">
        <v>1</v>
      </c>
      <c r="N71" s="1"/>
    </row>
    <row r="72" spans="1:14" x14ac:dyDescent="0.3">
      <c r="A72" t="s">
        <v>10</v>
      </c>
      <c r="B72">
        <v>1238</v>
      </c>
      <c r="C72">
        <v>0.54</v>
      </c>
      <c r="D72">
        <v>1.73</v>
      </c>
      <c r="E72">
        <v>1</v>
      </c>
      <c r="F72">
        <v>298</v>
      </c>
      <c r="G72">
        <v>72</v>
      </c>
      <c r="H72">
        <v>506.959</v>
      </c>
      <c r="I72">
        <v>7</v>
      </c>
      <c r="J72">
        <v>406.77199999999999</v>
      </c>
      <c r="K72">
        <v>100.187</v>
      </c>
      <c r="L72">
        <v>100.18700000000001</v>
      </c>
      <c r="M72">
        <v>0.99999999999999989</v>
      </c>
      <c r="N72" s="1"/>
    </row>
    <row r="73" spans="1:14" x14ac:dyDescent="0.3">
      <c r="A73" t="s">
        <v>12</v>
      </c>
      <c r="B73">
        <v>2891</v>
      </c>
      <c r="C73">
        <v>1.45</v>
      </c>
      <c r="D73">
        <v>1.99</v>
      </c>
      <c r="E73">
        <v>1</v>
      </c>
      <c r="F73">
        <v>298</v>
      </c>
      <c r="G73">
        <v>0.5</v>
      </c>
      <c r="H73">
        <v>30</v>
      </c>
      <c r="I73">
        <v>2.6516344168954</v>
      </c>
      <c r="J73">
        <v>0.46147411469467398</v>
      </c>
      <c r="K73">
        <f t="shared" ref="K73:K78" si="0">H73-J73</f>
        <v>29.538525885305326</v>
      </c>
      <c r="L73">
        <v>29.538525885305326</v>
      </c>
      <c r="M73">
        <v>1</v>
      </c>
      <c r="N73" s="1"/>
    </row>
    <row r="74" spans="1:14" x14ac:dyDescent="0.3">
      <c r="A74" t="s">
        <v>12</v>
      </c>
      <c r="B74">
        <v>2891</v>
      </c>
      <c r="C74">
        <v>1.45</v>
      </c>
      <c r="D74">
        <v>1.99</v>
      </c>
      <c r="E74">
        <v>1</v>
      </c>
      <c r="F74">
        <v>298</v>
      </c>
      <c r="G74">
        <v>0.5</v>
      </c>
      <c r="H74">
        <v>30</v>
      </c>
      <c r="I74">
        <v>6.2185876641789299</v>
      </c>
      <c r="J74">
        <v>0.21888651361650699</v>
      </c>
      <c r="K74">
        <f t="shared" si="0"/>
        <v>29.781113486383493</v>
      </c>
      <c r="L74">
        <v>29.781113486383493</v>
      </c>
      <c r="M74">
        <v>1</v>
      </c>
      <c r="N74" s="1"/>
    </row>
    <row r="75" spans="1:14" x14ac:dyDescent="0.3">
      <c r="A75" t="s">
        <v>12</v>
      </c>
      <c r="B75">
        <v>2891</v>
      </c>
      <c r="C75">
        <v>1.45</v>
      </c>
      <c r="D75">
        <v>1.99</v>
      </c>
      <c r="E75">
        <v>1</v>
      </c>
      <c r="F75">
        <v>298</v>
      </c>
      <c r="G75">
        <v>0.5</v>
      </c>
      <c r="H75">
        <v>30</v>
      </c>
      <c r="I75">
        <v>7.1532336728443999</v>
      </c>
      <c r="J75">
        <v>0.249160171550728</v>
      </c>
      <c r="K75">
        <f t="shared" si="0"/>
        <v>29.750839828449273</v>
      </c>
      <c r="L75">
        <v>29.750839828449273</v>
      </c>
      <c r="M75">
        <v>1</v>
      </c>
      <c r="N75" s="1"/>
    </row>
    <row r="76" spans="1:14" x14ac:dyDescent="0.3">
      <c r="A76" t="s">
        <v>12</v>
      </c>
      <c r="B76">
        <v>2891</v>
      </c>
      <c r="C76">
        <v>1.45</v>
      </c>
      <c r="D76">
        <v>1.99</v>
      </c>
      <c r="E76">
        <v>1</v>
      </c>
      <c r="F76">
        <v>298</v>
      </c>
      <c r="G76">
        <v>0.5</v>
      </c>
      <c r="H76">
        <v>30</v>
      </c>
      <c r="I76">
        <v>9.1202050677131705</v>
      </c>
      <c r="J76">
        <v>6.4178163132526898</v>
      </c>
      <c r="K76">
        <f t="shared" si="0"/>
        <v>23.58218368674731</v>
      </c>
      <c r="L76">
        <v>23.58218368674731</v>
      </c>
      <c r="M76">
        <v>1</v>
      </c>
      <c r="N76" s="1"/>
    </row>
    <row r="77" spans="1:14" x14ac:dyDescent="0.3">
      <c r="A77" t="s">
        <v>12</v>
      </c>
      <c r="B77">
        <v>2891</v>
      </c>
      <c r="C77">
        <v>1.45</v>
      </c>
      <c r="D77">
        <v>1.99</v>
      </c>
      <c r="E77">
        <v>1</v>
      </c>
      <c r="F77">
        <v>298</v>
      </c>
      <c r="G77">
        <v>0.5</v>
      </c>
      <c r="H77">
        <v>30</v>
      </c>
      <c r="I77">
        <v>11.026699634779799</v>
      </c>
      <c r="J77">
        <v>13.077224383572499</v>
      </c>
      <c r="K77">
        <f t="shared" si="0"/>
        <v>16.922775616427501</v>
      </c>
      <c r="L77">
        <v>16.922775616427501</v>
      </c>
      <c r="M77">
        <v>1</v>
      </c>
      <c r="N77" s="1"/>
    </row>
    <row r="78" spans="1:14" x14ac:dyDescent="0.3">
      <c r="A78" t="s">
        <v>12</v>
      </c>
      <c r="B78">
        <v>2891</v>
      </c>
      <c r="C78">
        <v>1.45</v>
      </c>
      <c r="D78">
        <v>1.99</v>
      </c>
      <c r="E78">
        <v>1</v>
      </c>
      <c r="F78">
        <v>298</v>
      </c>
      <c r="G78">
        <v>0.5</v>
      </c>
      <c r="H78">
        <v>30</v>
      </c>
      <c r="I78">
        <v>12.4168954018555</v>
      </c>
      <c r="J78">
        <v>20.207865839894801</v>
      </c>
      <c r="K78">
        <f t="shared" si="0"/>
        <v>9.7921341601051992</v>
      </c>
      <c r="L78">
        <v>9.7921341601051992</v>
      </c>
      <c r="M78">
        <v>1</v>
      </c>
      <c r="N78" s="1"/>
    </row>
    <row r="79" spans="1:14" x14ac:dyDescent="0.3">
      <c r="A79" t="s">
        <v>12</v>
      </c>
      <c r="B79">
        <v>2891</v>
      </c>
      <c r="C79">
        <v>1.45</v>
      </c>
      <c r="D79">
        <v>1.99</v>
      </c>
      <c r="E79">
        <v>1</v>
      </c>
      <c r="F79">
        <v>298</v>
      </c>
      <c r="G79">
        <v>72</v>
      </c>
      <c r="H79">
        <v>4.9400000000000004</v>
      </c>
      <c r="I79">
        <v>7</v>
      </c>
      <c r="J79">
        <v>3.9199999999999999E-2</v>
      </c>
      <c r="K79">
        <v>4.9000000000000004</v>
      </c>
      <c r="L79">
        <v>4.9008000000000003</v>
      </c>
      <c r="M79">
        <v>0.99983676134508659</v>
      </c>
      <c r="N79" s="1"/>
    </row>
    <row r="80" spans="1:14" x14ac:dyDescent="0.3">
      <c r="A80" t="s">
        <v>12</v>
      </c>
      <c r="B80">
        <v>2891</v>
      </c>
      <c r="C80">
        <v>1.45</v>
      </c>
      <c r="D80">
        <v>1.99</v>
      </c>
      <c r="E80">
        <v>1</v>
      </c>
      <c r="F80">
        <v>298</v>
      </c>
      <c r="G80">
        <v>72</v>
      </c>
      <c r="H80">
        <v>19.899999999999999</v>
      </c>
      <c r="I80">
        <v>7</v>
      </c>
      <c r="J80">
        <v>0.14499999999999999</v>
      </c>
      <c r="K80">
        <v>19.756</v>
      </c>
      <c r="L80">
        <v>19.754999999999999</v>
      </c>
      <c r="M80">
        <v>1.0000506200961783</v>
      </c>
      <c r="N80" s="1"/>
    </row>
    <row r="81" spans="1:14" x14ac:dyDescent="0.3">
      <c r="A81" t="s">
        <v>12</v>
      </c>
      <c r="B81">
        <v>2891</v>
      </c>
      <c r="C81">
        <v>1.45</v>
      </c>
      <c r="D81">
        <v>1.99</v>
      </c>
      <c r="E81">
        <v>1</v>
      </c>
      <c r="F81">
        <v>298</v>
      </c>
      <c r="G81">
        <v>72</v>
      </c>
      <c r="H81">
        <v>29.425000000000001</v>
      </c>
      <c r="I81">
        <v>7</v>
      </c>
      <c r="J81">
        <v>0.23499999999999999</v>
      </c>
      <c r="K81">
        <v>29.190999999999999</v>
      </c>
      <c r="L81">
        <v>29.19</v>
      </c>
      <c r="M81">
        <v>1.0000342583076396</v>
      </c>
      <c r="N81" s="1"/>
    </row>
    <row r="82" spans="1:14" x14ac:dyDescent="0.3">
      <c r="A82" t="s">
        <v>12</v>
      </c>
      <c r="B82">
        <v>2891</v>
      </c>
      <c r="C82">
        <v>1.45</v>
      </c>
      <c r="D82">
        <v>1.99</v>
      </c>
      <c r="E82">
        <v>1</v>
      </c>
      <c r="F82">
        <v>298</v>
      </c>
      <c r="G82">
        <v>72</v>
      </c>
      <c r="H82">
        <v>48.710999999999999</v>
      </c>
      <c r="I82">
        <v>7</v>
      </c>
      <c r="J82">
        <v>3.085</v>
      </c>
      <c r="K82">
        <v>45.625999999999998</v>
      </c>
      <c r="L82">
        <v>45.625999999999998</v>
      </c>
      <c r="M82">
        <v>1</v>
      </c>
      <c r="N82" s="1"/>
    </row>
    <row r="83" spans="1:14" x14ac:dyDescent="0.3">
      <c r="A83" t="s">
        <v>12</v>
      </c>
      <c r="B83">
        <v>2891</v>
      </c>
      <c r="C83">
        <v>1.45</v>
      </c>
      <c r="D83">
        <v>1.99</v>
      </c>
      <c r="E83">
        <v>1</v>
      </c>
      <c r="F83">
        <v>298</v>
      </c>
      <c r="G83">
        <v>72</v>
      </c>
      <c r="H83">
        <v>99.33</v>
      </c>
      <c r="I83">
        <v>7</v>
      </c>
      <c r="J83">
        <v>6.4</v>
      </c>
      <c r="K83">
        <v>92.93</v>
      </c>
      <c r="L83">
        <v>92.929999999999993</v>
      </c>
      <c r="M83">
        <v>1.0000000000000002</v>
      </c>
      <c r="N83" s="1"/>
    </row>
    <row r="84" spans="1:14" x14ac:dyDescent="0.3">
      <c r="A84" t="s">
        <v>12</v>
      </c>
      <c r="B84">
        <v>2891</v>
      </c>
      <c r="C84">
        <v>1.45</v>
      </c>
      <c r="D84">
        <v>1.99</v>
      </c>
      <c r="E84">
        <v>1</v>
      </c>
      <c r="F84">
        <v>298</v>
      </c>
      <c r="G84">
        <v>72</v>
      </c>
      <c r="H84">
        <v>194.98599999999999</v>
      </c>
      <c r="I84">
        <v>7</v>
      </c>
      <c r="J84">
        <v>13.27</v>
      </c>
      <c r="K84">
        <v>181.71600000000001</v>
      </c>
      <c r="L84">
        <v>181.71599999999998</v>
      </c>
      <c r="M84">
        <v>1.0000000000000002</v>
      </c>
      <c r="N84" s="1"/>
    </row>
    <row r="85" spans="1:14" x14ac:dyDescent="0.3">
      <c r="A85" t="s">
        <v>12</v>
      </c>
      <c r="B85">
        <v>2891</v>
      </c>
      <c r="C85">
        <v>1.45</v>
      </c>
      <c r="D85">
        <v>1.99</v>
      </c>
      <c r="E85">
        <v>1</v>
      </c>
      <c r="F85">
        <v>298</v>
      </c>
      <c r="G85">
        <v>72</v>
      </c>
      <c r="H85">
        <v>297.90499999999997</v>
      </c>
      <c r="I85">
        <v>7</v>
      </c>
      <c r="J85">
        <v>115.20399999999999</v>
      </c>
      <c r="K85">
        <v>182.70099999999999</v>
      </c>
      <c r="L85">
        <v>182.70099999999996</v>
      </c>
      <c r="M85">
        <v>1.0000000000000002</v>
      </c>
      <c r="N85" s="1"/>
    </row>
    <row r="86" spans="1:14" x14ac:dyDescent="0.3">
      <c r="A86" t="s">
        <v>12</v>
      </c>
      <c r="B86">
        <v>2891</v>
      </c>
      <c r="C86">
        <v>1.45</v>
      </c>
      <c r="D86">
        <v>1.99</v>
      </c>
      <c r="E86">
        <v>1</v>
      </c>
      <c r="F86">
        <v>298</v>
      </c>
      <c r="G86">
        <v>72</v>
      </c>
      <c r="H86">
        <v>497.18599999999998</v>
      </c>
      <c r="I86">
        <v>7</v>
      </c>
      <c r="J86">
        <v>306.77199999999999</v>
      </c>
      <c r="K86">
        <v>190.41399999999999</v>
      </c>
      <c r="L86">
        <v>190.41399999999999</v>
      </c>
      <c r="M86">
        <v>1</v>
      </c>
      <c r="N86" s="1"/>
    </row>
    <row r="87" spans="1:14" x14ac:dyDescent="0.3">
      <c r="A87" t="s">
        <v>13</v>
      </c>
      <c r="B87">
        <v>1426</v>
      </c>
      <c r="C87">
        <v>0.72</v>
      </c>
      <c r="D87">
        <v>2.1</v>
      </c>
      <c r="E87">
        <v>1</v>
      </c>
      <c r="F87">
        <v>298</v>
      </c>
      <c r="G87">
        <v>0.5</v>
      </c>
      <c r="H87">
        <v>30</v>
      </c>
      <c r="I87" s="2">
        <v>5.7245525777673203</v>
      </c>
      <c r="J87" s="2">
        <v>27.186547186480698</v>
      </c>
      <c r="K87">
        <f>H87-J87</f>
        <v>2.8134528135193015</v>
      </c>
      <c r="L87">
        <v>2.8134528135193015</v>
      </c>
      <c r="M87">
        <v>1</v>
      </c>
      <c r="N87" s="1" t="s">
        <v>14</v>
      </c>
    </row>
    <row r="88" spans="1:14" x14ac:dyDescent="0.3">
      <c r="A88" t="s">
        <v>13</v>
      </c>
      <c r="B88">
        <v>1426</v>
      </c>
      <c r="C88">
        <v>0.72</v>
      </c>
      <c r="D88">
        <v>2.1</v>
      </c>
      <c r="E88">
        <v>1</v>
      </c>
      <c r="F88">
        <v>298</v>
      </c>
      <c r="G88">
        <v>0.5</v>
      </c>
      <c r="H88">
        <v>30</v>
      </c>
      <c r="I88" s="2">
        <v>6.1285445431678696</v>
      </c>
      <c r="J88" s="2">
        <v>27.4256846971921</v>
      </c>
      <c r="K88">
        <f>H88-J88</f>
        <v>2.5743153028079</v>
      </c>
      <c r="L88">
        <v>2.5743153028079</v>
      </c>
      <c r="M88">
        <v>1</v>
      </c>
      <c r="N88" s="1"/>
    </row>
    <row r="89" spans="1:14" x14ac:dyDescent="0.3">
      <c r="A89" t="s">
        <v>13</v>
      </c>
      <c r="B89">
        <v>1426</v>
      </c>
      <c r="C89">
        <v>0.72</v>
      </c>
      <c r="D89">
        <v>2.1</v>
      </c>
      <c r="E89">
        <v>1</v>
      </c>
      <c r="F89">
        <v>298</v>
      </c>
      <c r="G89">
        <v>0.5</v>
      </c>
      <c r="H89">
        <v>30</v>
      </c>
      <c r="I89">
        <v>7.0019453140551198</v>
      </c>
      <c r="J89" s="2">
        <v>27.010980397366801</v>
      </c>
      <c r="K89">
        <f>H89-J89</f>
        <v>2.9890196026331992</v>
      </c>
      <c r="L89">
        <v>2.9890196026331992</v>
      </c>
      <c r="M89">
        <v>1</v>
      </c>
      <c r="N89" s="1"/>
    </row>
    <row r="90" spans="1:14" x14ac:dyDescent="0.3">
      <c r="A90" t="s">
        <v>13</v>
      </c>
      <c r="B90">
        <v>1426</v>
      </c>
      <c r="C90">
        <v>0.72</v>
      </c>
      <c r="D90">
        <v>2.1</v>
      </c>
      <c r="E90">
        <v>1</v>
      </c>
      <c r="F90">
        <v>298</v>
      </c>
      <c r="G90">
        <v>0.5</v>
      </c>
      <c r="H90">
        <v>30</v>
      </c>
      <c r="I90" s="2">
        <v>10.7565371600224</v>
      </c>
      <c r="J90" s="2">
        <v>29.1729827754565</v>
      </c>
      <c r="K90">
        <f>H90-J90</f>
        <v>0.82701722454349991</v>
      </c>
      <c r="L90">
        <v>0.82701722454349991</v>
      </c>
      <c r="M90">
        <v>1</v>
      </c>
      <c r="N90" s="1"/>
    </row>
    <row r="91" spans="1:14" x14ac:dyDescent="0.3">
      <c r="A91" t="s">
        <v>13</v>
      </c>
      <c r="B91">
        <v>1426</v>
      </c>
      <c r="C91">
        <v>0.72</v>
      </c>
      <c r="D91">
        <v>2.1</v>
      </c>
      <c r="E91">
        <v>1</v>
      </c>
      <c r="F91">
        <v>298</v>
      </c>
      <c r="G91">
        <v>0.5</v>
      </c>
      <c r="H91">
        <v>30</v>
      </c>
      <c r="I91" s="2">
        <v>12.0052478239626</v>
      </c>
      <c r="J91" s="2">
        <v>29.128941617233799</v>
      </c>
      <c r="K91">
        <f>H91-J91</f>
        <v>0.87105838276620062</v>
      </c>
      <c r="L91">
        <v>0.87105838276620062</v>
      </c>
      <c r="M91">
        <v>1</v>
      </c>
      <c r="N91" s="1"/>
    </row>
    <row r="92" spans="1:14" x14ac:dyDescent="0.3">
      <c r="A92" t="s">
        <v>13</v>
      </c>
      <c r="B92">
        <v>1426</v>
      </c>
      <c r="C92">
        <v>0.72</v>
      </c>
      <c r="D92">
        <v>2.1</v>
      </c>
      <c r="E92">
        <v>1</v>
      </c>
      <c r="F92">
        <v>298</v>
      </c>
      <c r="G92">
        <v>72</v>
      </c>
      <c r="H92">
        <v>1.984</v>
      </c>
      <c r="I92">
        <v>7</v>
      </c>
      <c r="J92">
        <v>0.497</v>
      </c>
      <c r="K92">
        <v>1.4870000000000001</v>
      </c>
      <c r="L92">
        <v>1.4870000000000001</v>
      </c>
      <c r="M92">
        <v>1</v>
      </c>
      <c r="N92" s="1"/>
    </row>
    <row r="93" spans="1:14" x14ac:dyDescent="0.3">
      <c r="A93" t="s">
        <v>13</v>
      </c>
      <c r="B93">
        <v>1426</v>
      </c>
      <c r="C93">
        <v>0.72</v>
      </c>
      <c r="D93">
        <v>2.1</v>
      </c>
      <c r="E93">
        <v>1</v>
      </c>
      <c r="F93">
        <v>298</v>
      </c>
      <c r="G93">
        <v>72</v>
      </c>
      <c r="H93">
        <v>3.948</v>
      </c>
      <c r="I93">
        <v>7</v>
      </c>
      <c r="J93">
        <v>1.331</v>
      </c>
      <c r="K93">
        <v>2.617</v>
      </c>
      <c r="L93">
        <v>2.617</v>
      </c>
      <c r="M93">
        <v>1</v>
      </c>
      <c r="N93" s="1"/>
    </row>
    <row r="94" spans="1:14" x14ac:dyDescent="0.3">
      <c r="A94" t="s">
        <v>13</v>
      </c>
      <c r="B94">
        <v>1426</v>
      </c>
      <c r="C94">
        <v>0.72</v>
      </c>
      <c r="D94">
        <v>2.1</v>
      </c>
      <c r="E94">
        <v>1</v>
      </c>
      <c r="F94">
        <v>298</v>
      </c>
      <c r="G94">
        <v>72</v>
      </c>
      <c r="H94">
        <v>8.0139999999999993</v>
      </c>
      <c r="I94">
        <v>7</v>
      </c>
      <c r="J94">
        <v>5.0880000000000001</v>
      </c>
      <c r="K94">
        <v>2.9260000000000002</v>
      </c>
      <c r="L94">
        <v>2.9259999999999993</v>
      </c>
      <c r="M94">
        <v>1.0000000000000002</v>
      </c>
      <c r="N94" s="1"/>
    </row>
    <row r="95" spans="1:14" x14ac:dyDescent="0.3">
      <c r="A95" t="s">
        <v>13</v>
      </c>
      <c r="B95">
        <v>1426</v>
      </c>
      <c r="C95">
        <v>0.72</v>
      </c>
      <c r="D95">
        <v>2.1</v>
      </c>
      <c r="E95">
        <v>1</v>
      </c>
      <c r="F95">
        <v>298</v>
      </c>
      <c r="G95">
        <v>72</v>
      </c>
      <c r="H95">
        <v>16.036000000000001</v>
      </c>
      <c r="I95">
        <v>7</v>
      </c>
      <c r="J95">
        <v>12.167</v>
      </c>
      <c r="K95">
        <v>3.8690000000000002</v>
      </c>
      <c r="L95">
        <v>3.8690000000000015</v>
      </c>
      <c r="M95">
        <v>0.99999999999999967</v>
      </c>
      <c r="N95" s="1"/>
    </row>
    <row r="96" spans="1:14" x14ac:dyDescent="0.3">
      <c r="A96" t="s">
        <v>13</v>
      </c>
      <c r="B96">
        <v>1426</v>
      </c>
      <c r="C96">
        <v>0.72</v>
      </c>
      <c r="D96">
        <v>2.1</v>
      </c>
      <c r="E96">
        <v>1</v>
      </c>
      <c r="F96">
        <v>298</v>
      </c>
      <c r="G96">
        <v>72</v>
      </c>
      <c r="H96">
        <v>32.207999999999998</v>
      </c>
      <c r="I96">
        <v>7</v>
      </c>
      <c r="J96">
        <v>27.24</v>
      </c>
      <c r="K96">
        <v>4.968</v>
      </c>
      <c r="L96">
        <v>4.968</v>
      </c>
      <c r="M96">
        <v>1</v>
      </c>
      <c r="N96" s="1"/>
    </row>
    <row r="97" spans="1:14" x14ac:dyDescent="0.3">
      <c r="A97" t="s">
        <v>27</v>
      </c>
      <c r="B97">
        <v>167</v>
      </c>
      <c r="C97">
        <v>0.28999999999999998</v>
      </c>
      <c r="D97">
        <v>6.9</v>
      </c>
      <c r="E97">
        <v>0.5</v>
      </c>
      <c r="F97">
        <v>298</v>
      </c>
      <c r="G97">
        <v>24</v>
      </c>
      <c r="H97">
        <v>50</v>
      </c>
      <c r="I97">
        <v>4</v>
      </c>
      <c r="J97">
        <v>2.5048144400000001</v>
      </c>
      <c r="K97">
        <v>94.990371105529107</v>
      </c>
      <c r="L97">
        <v>94.990371120000006</v>
      </c>
      <c r="M97">
        <v>0.9999999998476593</v>
      </c>
      <c r="N97" s="1" t="s">
        <v>28</v>
      </c>
    </row>
    <row r="98" spans="1:14" x14ac:dyDescent="0.3">
      <c r="A98" t="s">
        <v>27</v>
      </c>
      <c r="B98">
        <v>167</v>
      </c>
      <c r="C98">
        <v>0.28999999999999998</v>
      </c>
      <c r="D98">
        <v>6.9</v>
      </c>
      <c r="E98">
        <v>0.5</v>
      </c>
      <c r="F98">
        <v>298</v>
      </c>
      <c r="G98">
        <v>24</v>
      </c>
      <c r="H98">
        <v>50</v>
      </c>
      <c r="I98">
        <v>7</v>
      </c>
      <c r="J98">
        <v>5.5876703499999998</v>
      </c>
      <c r="K98">
        <v>88.824659304460496</v>
      </c>
      <c r="L98">
        <v>88.824659300000008</v>
      </c>
      <c r="M98">
        <v>1.0000000000502167</v>
      </c>
      <c r="N98" s="1"/>
    </row>
    <row r="99" spans="1:14" x14ac:dyDescent="0.3">
      <c r="A99" t="s">
        <v>27</v>
      </c>
      <c r="B99">
        <v>167</v>
      </c>
      <c r="C99">
        <v>0.28999999999999998</v>
      </c>
      <c r="D99">
        <v>6.9</v>
      </c>
      <c r="E99">
        <v>0.5</v>
      </c>
      <c r="F99">
        <v>298</v>
      </c>
      <c r="G99">
        <v>24</v>
      </c>
      <c r="H99">
        <v>50</v>
      </c>
      <c r="I99">
        <v>10</v>
      </c>
      <c r="J99">
        <v>13.87283042</v>
      </c>
      <c r="K99">
        <v>72.254339158212801</v>
      </c>
      <c r="L99">
        <v>72.254339160000001</v>
      </c>
      <c r="M99">
        <v>0.99999999997526512</v>
      </c>
      <c r="N99" s="1"/>
    </row>
    <row r="100" spans="1:14" x14ac:dyDescent="0.3">
      <c r="A100" t="s">
        <v>27</v>
      </c>
      <c r="B100">
        <v>167</v>
      </c>
      <c r="C100">
        <v>0.28999999999999998</v>
      </c>
      <c r="D100">
        <v>6.9</v>
      </c>
      <c r="E100">
        <v>0.3</v>
      </c>
      <c r="F100">
        <v>298</v>
      </c>
      <c r="G100">
        <v>0.5</v>
      </c>
      <c r="H100">
        <v>50</v>
      </c>
      <c r="I100">
        <v>4</v>
      </c>
      <c r="J100">
        <v>23.85869761</v>
      </c>
      <c r="K100">
        <v>87.137674624317995</v>
      </c>
      <c r="L100">
        <v>87.137674633333333</v>
      </c>
      <c r="M100">
        <v>0.9999999998965392</v>
      </c>
      <c r="N100" s="1"/>
    </row>
    <row r="101" spans="1:14" x14ac:dyDescent="0.3">
      <c r="A101" t="s">
        <v>27</v>
      </c>
      <c r="B101">
        <v>167</v>
      </c>
      <c r="C101">
        <v>0.28999999999999998</v>
      </c>
      <c r="D101">
        <v>6.9</v>
      </c>
      <c r="E101">
        <v>0.5</v>
      </c>
      <c r="F101">
        <v>298</v>
      </c>
      <c r="G101">
        <v>0.5</v>
      </c>
      <c r="H101">
        <v>50</v>
      </c>
      <c r="I101">
        <v>4</v>
      </c>
      <c r="J101">
        <v>2.7173910800000001</v>
      </c>
      <c r="K101">
        <v>94.565217842001005</v>
      </c>
      <c r="L101">
        <v>94.565217840000003</v>
      </c>
      <c r="M101">
        <v>1.00000000002116</v>
      </c>
      <c r="N101" s="1"/>
    </row>
    <row r="102" spans="1:14" x14ac:dyDescent="0.3">
      <c r="A102" t="s">
        <v>27</v>
      </c>
      <c r="B102">
        <v>167</v>
      </c>
      <c r="C102">
        <v>0.28999999999999998</v>
      </c>
      <c r="D102">
        <v>6.9</v>
      </c>
      <c r="E102">
        <v>0.5</v>
      </c>
      <c r="F102">
        <v>298</v>
      </c>
      <c r="G102">
        <v>0.5</v>
      </c>
      <c r="H102">
        <v>50</v>
      </c>
      <c r="I102">
        <v>4</v>
      </c>
      <c r="J102">
        <v>2.5961546700000002</v>
      </c>
      <c r="K102">
        <v>94.807690650048201</v>
      </c>
      <c r="L102">
        <v>94.807690660000006</v>
      </c>
      <c r="M102">
        <v>0.99999999989503163</v>
      </c>
      <c r="N102" s="1"/>
    </row>
    <row r="103" spans="1:14" x14ac:dyDescent="0.3">
      <c r="A103" t="s">
        <v>27</v>
      </c>
      <c r="B103">
        <v>167</v>
      </c>
      <c r="C103">
        <v>0.28999999999999998</v>
      </c>
      <c r="D103">
        <v>6.9</v>
      </c>
      <c r="E103">
        <v>0.5</v>
      </c>
      <c r="F103">
        <v>308</v>
      </c>
      <c r="G103">
        <v>0.5</v>
      </c>
      <c r="H103">
        <v>50</v>
      </c>
      <c r="I103">
        <v>4</v>
      </c>
      <c r="J103">
        <v>5.8653851899999996</v>
      </c>
      <c r="K103">
        <v>88.269229605353004</v>
      </c>
      <c r="L103">
        <v>88.269229620000004</v>
      </c>
      <c r="M103">
        <v>0.99999999983406451</v>
      </c>
      <c r="N103" s="1"/>
    </row>
    <row r="104" spans="1:14" x14ac:dyDescent="0.3">
      <c r="A104" t="s">
        <v>27</v>
      </c>
      <c r="B104">
        <v>167</v>
      </c>
      <c r="C104">
        <v>0.28999999999999998</v>
      </c>
      <c r="D104">
        <v>6.9</v>
      </c>
      <c r="E104">
        <v>0.5</v>
      </c>
      <c r="F104">
        <v>318</v>
      </c>
      <c r="G104">
        <v>0.5</v>
      </c>
      <c r="H104">
        <v>50</v>
      </c>
      <c r="I104">
        <v>4</v>
      </c>
      <c r="J104">
        <v>9.7115391800000008</v>
      </c>
      <c r="K104">
        <v>80.576921630893096</v>
      </c>
      <c r="L104">
        <v>80.576921639999995</v>
      </c>
      <c r="M104">
        <v>0.99999999988697885</v>
      </c>
      <c r="N104" s="1"/>
    </row>
    <row r="105" spans="1:14" x14ac:dyDescent="0.3">
      <c r="A105" t="s">
        <v>27</v>
      </c>
      <c r="B105">
        <v>167</v>
      </c>
      <c r="C105">
        <v>0.28999999999999998</v>
      </c>
      <c r="D105">
        <v>6.9</v>
      </c>
      <c r="E105">
        <v>0.5</v>
      </c>
      <c r="F105">
        <v>298</v>
      </c>
      <c r="G105">
        <v>8.3299999999999999E-2</v>
      </c>
      <c r="H105">
        <v>50</v>
      </c>
      <c r="I105">
        <v>4</v>
      </c>
      <c r="J105">
        <v>33.977274229999999</v>
      </c>
      <c r="K105">
        <v>32.045451540592197</v>
      </c>
      <c r="L105">
        <v>32.045451540000002</v>
      </c>
      <c r="M105">
        <v>1.0000000000184799</v>
      </c>
      <c r="N105" s="1"/>
    </row>
    <row r="106" spans="1:14" x14ac:dyDescent="0.3">
      <c r="A106" t="s">
        <v>27</v>
      </c>
      <c r="B106">
        <v>167</v>
      </c>
      <c r="C106">
        <v>0.28999999999999998</v>
      </c>
      <c r="D106">
        <v>6.9</v>
      </c>
      <c r="E106">
        <v>0.5</v>
      </c>
      <c r="F106">
        <v>298</v>
      </c>
      <c r="G106">
        <v>0.1666</v>
      </c>
      <c r="H106">
        <v>50</v>
      </c>
      <c r="I106">
        <v>4</v>
      </c>
      <c r="J106">
        <v>28.522729559999998</v>
      </c>
      <c r="K106">
        <v>42.9545408733619</v>
      </c>
      <c r="L106">
        <v>42.954540880000003</v>
      </c>
      <c r="M106">
        <v>0.99999999984546217</v>
      </c>
      <c r="N106" s="1"/>
    </row>
    <row r="107" spans="1:14" x14ac:dyDescent="0.3">
      <c r="A107" t="s">
        <v>27</v>
      </c>
      <c r="B107">
        <v>167</v>
      </c>
      <c r="C107">
        <v>0.28999999999999998</v>
      </c>
      <c r="D107">
        <v>6.9</v>
      </c>
      <c r="E107">
        <v>0.5</v>
      </c>
      <c r="F107">
        <v>298</v>
      </c>
      <c r="G107">
        <v>0.25</v>
      </c>
      <c r="H107">
        <v>50</v>
      </c>
      <c r="I107">
        <v>4</v>
      </c>
      <c r="J107">
        <v>23.522727750000001</v>
      </c>
      <c r="K107">
        <v>52.9545444857647</v>
      </c>
      <c r="L107">
        <v>52.954544499999997</v>
      </c>
      <c r="M107">
        <v>0.99999999973117892</v>
      </c>
      <c r="N107" s="1"/>
    </row>
    <row r="108" spans="1:14" x14ac:dyDescent="0.3">
      <c r="A108" t="s">
        <v>27</v>
      </c>
      <c r="B108">
        <v>167</v>
      </c>
      <c r="C108">
        <v>0.28999999999999998</v>
      </c>
      <c r="D108">
        <v>6.9</v>
      </c>
      <c r="E108">
        <v>0.5</v>
      </c>
      <c r="F108">
        <v>298</v>
      </c>
      <c r="G108">
        <v>0.5</v>
      </c>
      <c r="H108">
        <v>50</v>
      </c>
      <c r="I108">
        <v>4</v>
      </c>
      <c r="J108">
        <v>2.6136369799999999</v>
      </c>
      <c r="K108">
        <v>94.772726041226306</v>
      </c>
      <c r="L108">
        <v>94.772726039999995</v>
      </c>
      <c r="M108">
        <v>1.0000000000129394</v>
      </c>
      <c r="N108" s="1"/>
    </row>
    <row r="109" spans="1:14" x14ac:dyDescent="0.3">
      <c r="A109" t="s">
        <v>27</v>
      </c>
      <c r="B109">
        <v>167</v>
      </c>
      <c r="C109">
        <v>0.28999999999999998</v>
      </c>
      <c r="D109">
        <v>6.9</v>
      </c>
      <c r="E109">
        <v>0.5</v>
      </c>
      <c r="F109">
        <v>298</v>
      </c>
      <c r="G109">
        <v>1</v>
      </c>
      <c r="H109">
        <v>50</v>
      </c>
      <c r="I109">
        <v>4</v>
      </c>
      <c r="J109">
        <v>2.5000001799999998</v>
      </c>
      <c r="K109">
        <v>94.999999638759704</v>
      </c>
      <c r="L109">
        <v>94.999999639999999</v>
      </c>
      <c r="M109">
        <v>0.99999999998694422</v>
      </c>
      <c r="N109" s="1"/>
    </row>
    <row r="110" spans="1:14" x14ac:dyDescent="0.3">
      <c r="A110" t="s">
        <v>27</v>
      </c>
      <c r="B110">
        <v>167</v>
      </c>
      <c r="C110">
        <v>0.28999999999999998</v>
      </c>
      <c r="D110">
        <v>6.9</v>
      </c>
      <c r="E110">
        <v>0.5</v>
      </c>
      <c r="F110">
        <v>298</v>
      </c>
      <c r="G110">
        <v>1</v>
      </c>
      <c r="H110">
        <v>19.850353399999999</v>
      </c>
      <c r="I110">
        <v>4</v>
      </c>
      <c r="J110">
        <v>1.8019024716822025</v>
      </c>
      <c r="K110">
        <v>36.096901845034353</v>
      </c>
      <c r="L110">
        <v>36.096901856635597</v>
      </c>
      <c r="M110">
        <v>0.99999999967860831</v>
      </c>
      <c r="N110" s="1"/>
    </row>
    <row r="111" spans="1:14" x14ac:dyDescent="0.3">
      <c r="A111" t="s">
        <v>27</v>
      </c>
      <c r="B111">
        <v>167</v>
      </c>
      <c r="C111">
        <v>0.28999999999999998</v>
      </c>
      <c r="D111">
        <v>6.9</v>
      </c>
      <c r="E111">
        <v>0.5</v>
      </c>
      <c r="F111">
        <v>298</v>
      </c>
      <c r="G111">
        <v>1</v>
      </c>
      <c r="H111">
        <v>50.730016339999999</v>
      </c>
      <c r="I111">
        <v>4</v>
      </c>
      <c r="J111">
        <v>2.5078394767818351</v>
      </c>
      <c r="K111">
        <v>96.444353724817944</v>
      </c>
      <c r="L111">
        <v>96.444353726436333</v>
      </c>
      <c r="M111">
        <v>0.99999999998321942</v>
      </c>
      <c r="N111" s="1"/>
    </row>
    <row r="112" spans="1:14" x14ac:dyDescent="0.3">
      <c r="A112" t="s">
        <v>27</v>
      </c>
      <c r="B112">
        <v>167</v>
      </c>
      <c r="C112">
        <v>0.28999999999999998</v>
      </c>
      <c r="D112">
        <v>6.9</v>
      </c>
      <c r="E112">
        <v>0.5</v>
      </c>
      <c r="F112">
        <v>298</v>
      </c>
      <c r="G112">
        <v>1</v>
      </c>
      <c r="H112">
        <v>99.813138879999997</v>
      </c>
      <c r="I112">
        <v>4</v>
      </c>
      <c r="J112">
        <v>30.551739280308212</v>
      </c>
      <c r="K112">
        <v>138.52279915251734</v>
      </c>
      <c r="L112">
        <v>138.52279919938357</v>
      </c>
      <c r="M112">
        <v>0.9999999996616713</v>
      </c>
      <c r="N112" s="1"/>
    </row>
    <row r="113" spans="1:14" x14ac:dyDescent="0.3">
      <c r="A113" t="s">
        <v>27</v>
      </c>
      <c r="B113">
        <v>167</v>
      </c>
      <c r="C113">
        <v>0.28999999999999998</v>
      </c>
      <c r="D113">
        <v>6.9</v>
      </c>
      <c r="E113">
        <v>0.5</v>
      </c>
      <c r="F113">
        <v>298</v>
      </c>
      <c r="G113">
        <v>1</v>
      </c>
      <c r="H113">
        <v>150.13825399999999</v>
      </c>
      <c r="I113">
        <v>4</v>
      </c>
      <c r="J113">
        <v>58.874847472578374</v>
      </c>
      <c r="K113">
        <v>182.52681300446926</v>
      </c>
      <c r="L113">
        <v>182.52681305484322</v>
      </c>
      <c r="M113">
        <v>0.99999999972401887</v>
      </c>
      <c r="N113" s="1"/>
    </row>
    <row r="114" spans="1:14" x14ac:dyDescent="0.3">
      <c r="A114" t="s">
        <v>29</v>
      </c>
      <c r="B114">
        <v>2.2269999999999999</v>
      </c>
      <c r="C114">
        <v>3.0000000000000001E-3</v>
      </c>
      <c r="D114">
        <v>4.83</v>
      </c>
      <c r="E114">
        <v>1</v>
      </c>
      <c r="F114">
        <v>303</v>
      </c>
      <c r="G114">
        <v>24</v>
      </c>
      <c r="H114">
        <v>25.535668000000001</v>
      </c>
      <c r="I114">
        <v>5.77</v>
      </c>
      <c r="J114">
        <v>5.3191491520313097</v>
      </c>
      <c r="K114">
        <v>20.2165188480047</v>
      </c>
      <c r="L114">
        <v>20.216518847968693</v>
      </c>
      <c r="M114">
        <v>1.000000000001781</v>
      </c>
      <c r="N114" s="1" t="s">
        <v>30</v>
      </c>
    </row>
    <row r="115" spans="1:14" x14ac:dyDescent="0.3">
      <c r="A115" t="s">
        <v>29</v>
      </c>
      <c r="B115">
        <v>2.2269999999999999</v>
      </c>
      <c r="C115">
        <v>3.0000000000000001E-3</v>
      </c>
      <c r="D115">
        <v>4.83</v>
      </c>
      <c r="E115">
        <v>1</v>
      </c>
      <c r="F115">
        <v>303</v>
      </c>
      <c r="G115">
        <v>24</v>
      </c>
      <c r="H115">
        <v>77.367639789999998</v>
      </c>
      <c r="I115">
        <v>5.77</v>
      </c>
      <c r="J115">
        <v>13.829820260791299</v>
      </c>
      <c r="K115">
        <v>63.537819531040398</v>
      </c>
      <c r="L115">
        <v>63.537819529208697</v>
      </c>
      <c r="M115">
        <v>1.0000000000288285</v>
      </c>
      <c r="N115" s="1"/>
    </row>
    <row r="116" spans="1:14" x14ac:dyDescent="0.3">
      <c r="A116" t="s">
        <v>29</v>
      </c>
      <c r="B116">
        <v>2.2269999999999999</v>
      </c>
      <c r="C116">
        <v>3.0000000000000001E-3</v>
      </c>
      <c r="D116">
        <v>4.83</v>
      </c>
      <c r="E116">
        <v>1</v>
      </c>
      <c r="F116">
        <v>303</v>
      </c>
      <c r="G116">
        <v>24</v>
      </c>
      <c r="H116">
        <v>248.67111929999999</v>
      </c>
      <c r="I116">
        <v>5.77</v>
      </c>
      <c r="J116">
        <v>43.617006813901803</v>
      </c>
      <c r="K116">
        <v>205.054112497662</v>
      </c>
      <c r="L116">
        <v>205.05411248609818</v>
      </c>
      <c r="M116">
        <v>1.000000000056394</v>
      </c>
      <c r="N116" s="1"/>
    </row>
    <row r="117" spans="1:14" x14ac:dyDescent="0.3">
      <c r="A117" t="s">
        <v>29</v>
      </c>
      <c r="B117">
        <v>2.2269999999999999</v>
      </c>
      <c r="C117">
        <v>3.0000000000000001E-3</v>
      </c>
      <c r="D117">
        <v>4.83</v>
      </c>
      <c r="E117">
        <v>1</v>
      </c>
      <c r="F117">
        <v>303</v>
      </c>
      <c r="G117">
        <v>24</v>
      </c>
      <c r="H117">
        <v>500.00383190000002</v>
      </c>
      <c r="I117">
        <v>5.77</v>
      </c>
      <c r="J117">
        <v>79.787237280469697</v>
      </c>
      <c r="K117">
        <v>420.21659459109298</v>
      </c>
      <c r="L117">
        <v>420.21659461953033</v>
      </c>
      <c r="M117">
        <v>0.99999999993232691</v>
      </c>
      <c r="N117" s="1"/>
    </row>
    <row r="118" spans="1:14" x14ac:dyDescent="0.3">
      <c r="A118" t="s">
        <v>29</v>
      </c>
      <c r="B118">
        <v>2.2269999999999999</v>
      </c>
      <c r="C118">
        <v>3.0000000000000001E-3</v>
      </c>
      <c r="D118">
        <v>4.83</v>
      </c>
      <c r="E118">
        <v>1</v>
      </c>
      <c r="F118">
        <v>303</v>
      </c>
      <c r="G118">
        <v>24</v>
      </c>
      <c r="H118">
        <v>748.13735799999995</v>
      </c>
      <c r="I118">
        <v>5.77</v>
      </c>
      <c r="J118">
        <v>153.19151181125599</v>
      </c>
      <c r="K118">
        <v>594.94584618792499</v>
      </c>
      <c r="L118">
        <v>594.94584618874399</v>
      </c>
      <c r="M118">
        <v>0.99999999999862343</v>
      </c>
      <c r="N118" s="1"/>
    </row>
    <row r="119" spans="1:14" x14ac:dyDescent="0.3">
      <c r="A119" t="s">
        <v>29</v>
      </c>
      <c r="B119">
        <v>2.2269999999999999</v>
      </c>
      <c r="C119">
        <v>3.0000000000000001E-3</v>
      </c>
      <c r="D119">
        <v>4.83</v>
      </c>
      <c r="E119">
        <v>1</v>
      </c>
      <c r="F119">
        <v>303</v>
      </c>
      <c r="G119">
        <v>24</v>
      </c>
      <c r="H119">
        <v>998.4676303</v>
      </c>
      <c r="I119">
        <v>5.77</v>
      </c>
      <c r="J119">
        <v>264.89364400391401</v>
      </c>
      <c r="K119">
        <v>733.57398633928597</v>
      </c>
      <c r="L119">
        <v>733.57398629608599</v>
      </c>
      <c r="M119">
        <v>1.0000000000588898</v>
      </c>
      <c r="N119" s="1"/>
    </row>
    <row r="120" spans="1:14" x14ac:dyDescent="0.3">
      <c r="A120" t="s">
        <v>29</v>
      </c>
      <c r="B120">
        <v>2.2269999999999999</v>
      </c>
      <c r="C120">
        <v>3.0000000000000001E-3</v>
      </c>
      <c r="D120">
        <v>4.83</v>
      </c>
      <c r="E120">
        <v>1</v>
      </c>
      <c r="F120">
        <v>303</v>
      </c>
      <c r="G120">
        <v>24</v>
      </c>
      <c r="H120">
        <v>1503.794545</v>
      </c>
      <c r="I120">
        <v>5.77</v>
      </c>
      <c r="J120">
        <v>729.78732858971603</v>
      </c>
      <c r="K120">
        <v>774.00721683588404</v>
      </c>
      <c r="L120">
        <v>774.00721641028395</v>
      </c>
      <c r="M120">
        <v>1.0000000005498657</v>
      </c>
      <c r="N120" s="1"/>
    </row>
    <row r="121" spans="1:14" x14ac:dyDescent="0.3">
      <c r="A121" t="s">
        <v>29</v>
      </c>
      <c r="B121">
        <v>2.2269999999999999</v>
      </c>
      <c r="C121">
        <v>3.0000000000000001E-3</v>
      </c>
      <c r="D121">
        <v>4.83</v>
      </c>
      <c r="E121">
        <v>1</v>
      </c>
      <c r="F121">
        <v>303</v>
      </c>
      <c r="G121">
        <v>24</v>
      </c>
      <c r="H121">
        <v>1000</v>
      </c>
      <c r="I121">
        <v>5.77</v>
      </c>
      <c r="J121">
        <v>264.6226297</v>
      </c>
      <c r="K121">
        <v>735.377370339349</v>
      </c>
      <c r="L121">
        <v>735.37737029999994</v>
      </c>
      <c r="M121">
        <v>1.0000000000535088</v>
      </c>
      <c r="N121" s="1"/>
    </row>
    <row r="122" spans="1:14" x14ac:dyDescent="0.3">
      <c r="A122" t="s">
        <v>29</v>
      </c>
      <c r="B122">
        <v>2.2269999999999999</v>
      </c>
      <c r="C122">
        <v>3.0000000000000001E-3</v>
      </c>
      <c r="D122">
        <v>4.83</v>
      </c>
      <c r="E122">
        <v>1</v>
      </c>
      <c r="F122">
        <v>313</v>
      </c>
      <c r="G122">
        <v>24</v>
      </c>
      <c r="H122">
        <v>1000</v>
      </c>
      <c r="I122">
        <v>5.77</v>
      </c>
      <c r="J122">
        <v>228.77358280000001</v>
      </c>
      <c r="K122">
        <v>771.22641716532996</v>
      </c>
      <c r="L122">
        <v>771.22641720000001</v>
      </c>
      <c r="M122">
        <v>0.99999999995504552</v>
      </c>
      <c r="N122" s="1"/>
    </row>
    <row r="123" spans="1:14" x14ac:dyDescent="0.3">
      <c r="A123" t="s">
        <v>29</v>
      </c>
      <c r="B123">
        <v>2.2269999999999999</v>
      </c>
      <c r="C123">
        <v>3.0000000000000001E-3</v>
      </c>
      <c r="D123">
        <v>4.83</v>
      </c>
      <c r="E123">
        <v>1</v>
      </c>
      <c r="F123">
        <v>323</v>
      </c>
      <c r="G123">
        <v>24</v>
      </c>
      <c r="H123">
        <v>1000</v>
      </c>
      <c r="I123">
        <v>5.77</v>
      </c>
      <c r="J123">
        <v>210.84906839999999</v>
      </c>
      <c r="K123">
        <v>789.15093158139405</v>
      </c>
      <c r="L123">
        <v>789.15093160000004</v>
      </c>
      <c r="M123">
        <v>0.99999999997642275</v>
      </c>
      <c r="N123" s="1"/>
    </row>
    <row r="124" spans="1:14" x14ac:dyDescent="0.3">
      <c r="A124" t="s">
        <v>29</v>
      </c>
      <c r="B124">
        <v>2.2269999999999999</v>
      </c>
      <c r="C124">
        <v>3.0000000000000001E-3</v>
      </c>
      <c r="D124">
        <v>4.83</v>
      </c>
      <c r="E124">
        <v>1</v>
      </c>
      <c r="F124">
        <v>333</v>
      </c>
      <c r="G124">
        <v>24</v>
      </c>
      <c r="H124">
        <v>1000</v>
      </c>
      <c r="I124">
        <v>5.77</v>
      </c>
      <c r="J124">
        <v>193.39621790000001</v>
      </c>
      <c r="K124">
        <v>806.603782106523</v>
      </c>
      <c r="L124">
        <v>806.60378209999999</v>
      </c>
      <c r="M124">
        <v>1.0000000000080871</v>
      </c>
      <c r="N124" s="1"/>
    </row>
    <row r="125" spans="1:14" x14ac:dyDescent="0.3">
      <c r="A125" t="s">
        <v>29</v>
      </c>
      <c r="B125">
        <v>2.2269999999999999</v>
      </c>
      <c r="C125">
        <v>3.0000000000000001E-3</v>
      </c>
      <c r="D125">
        <v>4.83</v>
      </c>
      <c r="E125">
        <v>1</v>
      </c>
      <c r="F125">
        <v>303</v>
      </c>
      <c r="G125">
        <v>24</v>
      </c>
      <c r="H125">
        <v>4.3131053110000002</v>
      </c>
      <c r="I125">
        <v>5.77</v>
      </c>
      <c r="J125">
        <v>4.1164136654419972</v>
      </c>
      <c r="K125">
        <v>0.19669164632761527</v>
      </c>
      <c r="L125">
        <v>0.196691645558003</v>
      </c>
      <c r="M125">
        <v>1.0000000039127857</v>
      </c>
      <c r="N125" s="1"/>
    </row>
    <row r="126" spans="1:14" x14ac:dyDescent="0.3">
      <c r="A126" t="s">
        <v>29</v>
      </c>
      <c r="B126">
        <v>2.2269999999999999</v>
      </c>
      <c r="C126">
        <v>3.0000000000000001E-3</v>
      </c>
      <c r="D126">
        <v>4.83</v>
      </c>
      <c r="E126">
        <v>1</v>
      </c>
      <c r="F126">
        <v>303</v>
      </c>
      <c r="G126">
        <v>24</v>
      </c>
      <c r="H126">
        <v>14.586507920000001</v>
      </c>
      <c r="I126">
        <v>5.77</v>
      </c>
      <c r="J126">
        <v>14.346354120767517</v>
      </c>
      <c r="K126">
        <v>0.24015380065881203</v>
      </c>
      <c r="L126">
        <v>0.24015379923248403</v>
      </c>
      <c r="M126">
        <v>1.0000000059392273</v>
      </c>
      <c r="N126" s="1"/>
    </row>
    <row r="127" spans="1:14" x14ac:dyDescent="0.3">
      <c r="A127" t="s">
        <v>29</v>
      </c>
      <c r="B127">
        <v>2.2269999999999999</v>
      </c>
      <c r="C127">
        <v>3.0000000000000001E-3</v>
      </c>
      <c r="D127">
        <v>4.83</v>
      </c>
      <c r="E127">
        <v>1</v>
      </c>
      <c r="F127">
        <v>303</v>
      </c>
      <c r="G127">
        <v>24</v>
      </c>
      <c r="H127">
        <v>43.976825269999999</v>
      </c>
      <c r="I127">
        <v>5.77</v>
      </c>
      <c r="J127">
        <v>43.765013490726076</v>
      </c>
      <c r="K127">
        <v>0.21181178033294618</v>
      </c>
      <c r="L127">
        <v>0.2118117792739227</v>
      </c>
      <c r="M127">
        <v>1.0000000049998328</v>
      </c>
      <c r="N127" s="1"/>
    </row>
    <row r="128" spans="1:14" x14ac:dyDescent="0.3">
      <c r="A128" t="s">
        <v>29</v>
      </c>
      <c r="B128">
        <v>2.2269999999999999</v>
      </c>
      <c r="C128">
        <v>3.0000000000000001E-3</v>
      </c>
      <c r="D128">
        <v>4.83</v>
      </c>
      <c r="E128">
        <v>1</v>
      </c>
      <c r="F128">
        <v>303</v>
      </c>
      <c r="G128">
        <v>24</v>
      </c>
      <c r="H128">
        <v>77.9115666</v>
      </c>
      <c r="I128">
        <v>5.77</v>
      </c>
      <c r="J128">
        <v>77.722938594897499</v>
      </c>
      <c r="K128">
        <v>0.18862801053818751</v>
      </c>
      <c r="L128">
        <v>0.18862800510250111</v>
      </c>
      <c r="M128">
        <v>1.0000000288169639</v>
      </c>
      <c r="N128" s="1"/>
    </row>
    <row r="129" spans="1:14" x14ac:dyDescent="0.3">
      <c r="A129" t="s">
        <v>29</v>
      </c>
      <c r="B129">
        <v>2.2269999999999999</v>
      </c>
      <c r="C129">
        <v>3.0000000000000001E-3</v>
      </c>
      <c r="D129">
        <v>4.83</v>
      </c>
      <c r="E129">
        <v>1</v>
      </c>
      <c r="F129">
        <v>303</v>
      </c>
      <c r="G129">
        <v>24</v>
      </c>
      <c r="H129">
        <v>154.06229210000001</v>
      </c>
      <c r="I129">
        <v>5.77</v>
      </c>
      <c r="J129">
        <v>153.80284314692926</v>
      </c>
      <c r="K129">
        <v>0.25944903220336052</v>
      </c>
      <c r="L129">
        <v>0.25944895307074489</v>
      </c>
      <c r="M129">
        <v>1.00000030500264</v>
      </c>
      <c r="N129" s="1"/>
    </row>
    <row r="130" spans="1:14" x14ac:dyDescent="0.3">
      <c r="A130" t="s">
        <v>29</v>
      </c>
      <c r="B130">
        <v>2.2269999999999999</v>
      </c>
      <c r="C130">
        <v>3.0000000000000001E-3</v>
      </c>
      <c r="D130">
        <v>4.83</v>
      </c>
      <c r="E130">
        <v>1</v>
      </c>
      <c r="F130">
        <v>303</v>
      </c>
      <c r="G130">
        <v>24</v>
      </c>
      <c r="H130">
        <v>262.3672072</v>
      </c>
      <c r="I130">
        <v>5.77</v>
      </c>
      <c r="J130">
        <v>262.00688308723329</v>
      </c>
      <c r="K130">
        <v>0.3603241131070456</v>
      </c>
      <c r="L130">
        <v>0.36032411276670473</v>
      </c>
      <c r="M130">
        <v>1.0000000009445409</v>
      </c>
      <c r="N130" s="1"/>
    </row>
    <row r="131" spans="1:14" x14ac:dyDescent="0.3">
      <c r="A131" t="s">
        <v>29</v>
      </c>
      <c r="B131">
        <v>2.2269999999999999</v>
      </c>
      <c r="C131">
        <v>3.0000000000000001E-3</v>
      </c>
      <c r="D131">
        <v>4.83</v>
      </c>
      <c r="E131">
        <v>1</v>
      </c>
      <c r="F131">
        <v>303</v>
      </c>
      <c r="G131">
        <v>24</v>
      </c>
      <c r="H131">
        <v>718.25442720000001</v>
      </c>
      <c r="I131">
        <v>5.77</v>
      </c>
      <c r="J131">
        <v>717.30769644161558</v>
      </c>
      <c r="K131">
        <v>0.94673078470438321</v>
      </c>
      <c r="L131">
        <v>0.9467307583844331</v>
      </c>
      <c r="M131">
        <v>1.000000027800882</v>
      </c>
      <c r="N131" s="1"/>
    </row>
    <row r="132" spans="1:14" x14ac:dyDescent="0.3">
      <c r="A132" t="s">
        <v>31</v>
      </c>
      <c r="B132">
        <v>396</v>
      </c>
      <c r="C132">
        <v>1.48</v>
      </c>
      <c r="E132">
        <v>0.2</v>
      </c>
      <c r="F132">
        <v>298</v>
      </c>
      <c r="G132">
        <v>0.5</v>
      </c>
      <c r="H132">
        <v>500</v>
      </c>
      <c r="I132">
        <v>5.5</v>
      </c>
      <c r="J132">
        <v>400.13312089999999</v>
      </c>
      <c r="K132">
        <v>499.33439560912399</v>
      </c>
      <c r="L132">
        <v>499.33439550000003</v>
      </c>
      <c r="M132">
        <v>1.0000000002185387</v>
      </c>
      <c r="N132" s="1" t="s">
        <v>32</v>
      </c>
    </row>
    <row r="133" spans="1:14" x14ac:dyDescent="0.3">
      <c r="A133" t="s">
        <v>31</v>
      </c>
      <c r="B133">
        <v>396</v>
      </c>
      <c r="C133">
        <v>1.48</v>
      </c>
      <c r="E133">
        <v>0.4</v>
      </c>
      <c r="F133">
        <v>298</v>
      </c>
      <c r="G133">
        <v>0.5</v>
      </c>
      <c r="H133">
        <v>500</v>
      </c>
      <c r="I133">
        <v>5.5</v>
      </c>
      <c r="J133">
        <v>340.59900779999998</v>
      </c>
      <c r="K133">
        <v>398.50248056884499</v>
      </c>
      <c r="L133">
        <v>398.50248050000005</v>
      </c>
      <c r="M133">
        <v>1.0000000001727591</v>
      </c>
      <c r="N133" s="1"/>
    </row>
    <row r="134" spans="1:14" x14ac:dyDescent="0.3">
      <c r="A134" t="s">
        <v>31</v>
      </c>
      <c r="B134">
        <v>396</v>
      </c>
      <c r="C134">
        <v>1.48</v>
      </c>
      <c r="E134">
        <v>0.6</v>
      </c>
      <c r="F134">
        <v>298</v>
      </c>
      <c r="G134">
        <v>0.5</v>
      </c>
      <c r="H134">
        <v>500</v>
      </c>
      <c r="I134">
        <v>5.5</v>
      </c>
      <c r="J134">
        <v>300.43261330000001</v>
      </c>
      <c r="K134">
        <v>332.612311101074</v>
      </c>
      <c r="L134">
        <v>332.61231116666664</v>
      </c>
      <c r="M134">
        <v>0.99999999980279553</v>
      </c>
      <c r="N134" s="1"/>
    </row>
    <row r="135" spans="1:14" x14ac:dyDescent="0.3">
      <c r="A135" t="s">
        <v>31</v>
      </c>
      <c r="B135">
        <v>396</v>
      </c>
      <c r="C135">
        <v>1.48</v>
      </c>
      <c r="E135">
        <v>0.8</v>
      </c>
      <c r="F135">
        <v>298</v>
      </c>
      <c r="G135">
        <v>0.5</v>
      </c>
      <c r="H135">
        <v>500</v>
      </c>
      <c r="I135">
        <v>5.5</v>
      </c>
      <c r="J135">
        <v>261.86356280000001</v>
      </c>
      <c r="K135">
        <v>297.67054648681602</v>
      </c>
      <c r="L135">
        <v>297.67054649999994</v>
      </c>
      <c r="M135">
        <v>0.99999999995570965</v>
      </c>
      <c r="N135" s="1"/>
    </row>
    <row r="136" spans="1:14" x14ac:dyDescent="0.3">
      <c r="A136" t="s">
        <v>31</v>
      </c>
      <c r="B136">
        <v>396</v>
      </c>
      <c r="C136">
        <v>1.48</v>
      </c>
      <c r="E136">
        <v>1</v>
      </c>
      <c r="F136">
        <v>298</v>
      </c>
      <c r="G136">
        <v>0.5</v>
      </c>
      <c r="H136">
        <v>500</v>
      </c>
      <c r="I136">
        <v>5.5</v>
      </c>
      <c r="J136">
        <v>219.30117540000001</v>
      </c>
      <c r="K136">
        <v>280.69882462890399</v>
      </c>
      <c r="L136">
        <v>280.69882459999997</v>
      </c>
      <c r="M136">
        <v>1.0000000001029716</v>
      </c>
      <c r="N136" s="1"/>
    </row>
    <row r="137" spans="1:14" x14ac:dyDescent="0.3">
      <c r="A137" t="s">
        <v>31</v>
      </c>
      <c r="B137">
        <v>396</v>
      </c>
      <c r="C137">
        <v>1.48</v>
      </c>
      <c r="E137">
        <v>1.2</v>
      </c>
      <c r="F137">
        <v>298</v>
      </c>
      <c r="G137">
        <v>0.5</v>
      </c>
      <c r="H137">
        <v>500</v>
      </c>
      <c r="I137">
        <v>5.5</v>
      </c>
      <c r="J137">
        <v>169.1514272</v>
      </c>
      <c r="K137">
        <v>275.707143969725</v>
      </c>
      <c r="L137">
        <v>275.70714400000003</v>
      </c>
      <c r="M137">
        <v>0.99999999989019139</v>
      </c>
      <c r="N137" s="1"/>
    </row>
    <row r="138" spans="1:14" x14ac:dyDescent="0.3">
      <c r="A138" t="s">
        <v>31</v>
      </c>
      <c r="B138">
        <v>396</v>
      </c>
      <c r="C138">
        <v>1.48</v>
      </c>
      <c r="E138">
        <v>1</v>
      </c>
      <c r="F138">
        <v>298</v>
      </c>
      <c r="G138">
        <v>0.5</v>
      </c>
      <c r="H138">
        <v>64.297021770000001</v>
      </c>
      <c r="I138">
        <v>5.5</v>
      </c>
      <c r="J138">
        <v>7.1541045661384803</v>
      </c>
      <c r="K138">
        <v>57.142917199313203</v>
      </c>
      <c r="L138">
        <v>57.142917203861522</v>
      </c>
      <c r="M138">
        <v>0.99999999992040445</v>
      </c>
      <c r="N138" s="1"/>
    </row>
    <row r="139" spans="1:14" x14ac:dyDescent="0.3">
      <c r="A139" t="s">
        <v>31</v>
      </c>
      <c r="B139">
        <v>396</v>
      </c>
      <c r="C139">
        <v>1.48</v>
      </c>
      <c r="E139">
        <v>1</v>
      </c>
      <c r="F139">
        <v>298</v>
      </c>
      <c r="G139">
        <v>0.5</v>
      </c>
      <c r="H139">
        <v>177.89502329999999</v>
      </c>
      <c r="I139">
        <v>5.5</v>
      </c>
      <c r="J139">
        <v>2.3847015220461598</v>
      </c>
      <c r="K139">
        <v>175.51032181135199</v>
      </c>
      <c r="L139">
        <v>175.51032177795383</v>
      </c>
      <c r="M139">
        <v>1.0000000001902916</v>
      </c>
      <c r="N139" s="1"/>
    </row>
    <row r="140" spans="1:14" x14ac:dyDescent="0.3">
      <c r="A140" t="s">
        <v>31</v>
      </c>
      <c r="B140">
        <v>396</v>
      </c>
      <c r="C140">
        <v>1.48</v>
      </c>
      <c r="E140">
        <v>1</v>
      </c>
      <c r="F140">
        <v>298</v>
      </c>
      <c r="G140">
        <v>0.5</v>
      </c>
      <c r="H140">
        <v>228.57135740000001</v>
      </c>
      <c r="I140">
        <v>5.5</v>
      </c>
      <c r="J140">
        <v>0</v>
      </c>
      <c r="K140">
        <v>228.571357393406</v>
      </c>
      <c r="L140">
        <v>228.57135740000001</v>
      </c>
      <c r="M140">
        <v>0.99999999997115119</v>
      </c>
      <c r="N140" s="1"/>
    </row>
    <row r="141" spans="1:14" x14ac:dyDescent="0.3">
      <c r="A141" t="s">
        <v>31</v>
      </c>
      <c r="B141">
        <v>396</v>
      </c>
      <c r="C141">
        <v>1.48</v>
      </c>
      <c r="E141">
        <v>1</v>
      </c>
      <c r="F141">
        <v>298</v>
      </c>
      <c r="G141">
        <v>0.5</v>
      </c>
      <c r="H141">
        <v>294.56509210000002</v>
      </c>
      <c r="I141">
        <v>5.5</v>
      </c>
      <c r="J141">
        <v>4.7694030440923196</v>
      </c>
      <c r="K141">
        <v>289.79568910420898</v>
      </c>
      <c r="L141">
        <v>289.7956890559077</v>
      </c>
      <c r="M141">
        <v>1.0000000001666736</v>
      </c>
      <c r="N141" s="1"/>
    </row>
    <row r="142" spans="1:14" x14ac:dyDescent="0.3">
      <c r="A142" t="s">
        <v>31</v>
      </c>
      <c r="B142">
        <v>396</v>
      </c>
      <c r="C142">
        <v>1.48</v>
      </c>
      <c r="E142">
        <v>1</v>
      </c>
      <c r="F142">
        <v>298</v>
      </c>
      <c r="G142">
        <v>0.5</v>
      </c>
      <c r="H142">
        <v>354.09302229999997</v>
      </c>
      <c r="I142">
        <v>5.5</v>
      </c>
      <c r="J142">
        <v>7.1541045661384803</v>
      </c>
      <c r="K142">
        <v>346.93891770736798</v>
      </c>
      <c r="L142">
        <v>346.9389177338615</v>
      </c>
      <c r="M142">
        <v>0.99999999992363631</v>
      </c>
      <c r="N142" s="1"/>
    </row>
    <row r="143" spans="1:14" x14ac:dyDescent="0.3">
      <c r="A143" t="s">
        <v>31</v>
      </c>
      <c r="B143">
        <v>396</v>
      </c>
      <c r="C143">
        <v>1.48</v>
      </c>
      <c r="E143">
        <v>1</v>
      </c>
      <c r="F143">
        <v>298</v>
      </c>
      <c r="G143">
        <v>0.5</v>
      </c>
      <c r="H143">
        <v>404.12700280000001</v>
      </c>
      <c r="I143">
        <v>5.5</v>
      </c>
      <c r="J143">
        <v>28.616782146681299</v>
      </c>
      <c r="K143">
        <v>375.51022060510201</v>
      </c>
      <c r="L143">
        <v>375.5102206533187</v>
      </c>
      <c r="M143">
        <v>0.99999999987159682</v>
      </c>
      <c r="N143" s="1"/>
    </row>
    <row r="144" spans="1:14" x14ac:dyDescent="0.3">
      <c r="A144" t="s">
        <v>31</v>
      </c>
      <c r="B144">
        <v>396</v>
      </c>
      <c r="C144">
        <v>1.48</v>
      </c>
      <c r="E144">
        <v>1</v>
      </c>
      <c r="F144">
        <v>298</v>
      </c>
      <c r="G144">
        <v>0.5</v>
      </c>
      <c r="H144">
        <v>508.5981779</v>
      </c>
      <c r="I144">
        <v>5.5</v>
      </c>
      <c r="J144">
        <v>59.618447756472598</v>
      </c>
      <c r="K144">
        <v>448.97973006191103</v>
      </c>
      <c r="L144">
        <v>448.97973014352738</v>
      </c>
      <c r="M144">
        <v>0.99999999981821819</v>
      </c>
      <c r="N144" s="1"/>
    </row>
    <row r="145" spans="1:14" x14ac:dyDescent="0.3">
      <c r="A145" t="s">
        <v>31</v>
      </c>
      <c r="B145">
        <v>396</v>
      </c>
      <c r="C145">
        <v>1.48</v>
      </c>
      <c r="E145">
        <v>1</v>
      </c>
      <c r="F145">
        <v>298</v>
      </c>
      <c r="G145">
        <v>0.5</v>
      </c>
      <c r="H145">
        <v>560.05332940000005</v>
      </c>
      <c r="I145">
        <v>5.5</v>
      </c>
      <c r="J145">
        <v>119.236895512945</v>
      </c>
      <c r="K145">
        <v>440.81643393316301</v>
      </c>
      <c r="L145">
        <v>440.81643388705504</v>
      </c>
      <c r="M145">
        <v>1.0000000001045968</v>
      </c>
      <c r="N145" s="1"/>
    </row>
    <row r="146" spans="1:14" x14ac:dyDescent="0.3">
      <c r="A146" t="s">
        <v>31</v>
      </c>
      <c r="B146">
        <v>396</v>
      </c>
      <c r="C146">
        <v>1.48</v>
      </c>
      <c r="E146">
        <v>1</v>
      </c>
      <c r="F146">
        <v>298</v>
      </c>
      <c r="G146">
        <v>0.5</v>
      </c>
      <c r="H146">
        <v>686.58387449999998</v>
      </c>
      <c r="I146">
        <v>5.5</v>
      </c>
      <c r="J146">
        <v>119.236895512945</v>
      </c>
      <c r="K146">
        <v>567.34697897202705</v>
      </c>
      <c r="L146">
        <v>567.34697898705497</v>
      </c>
      <c r="M146">
        <v>0.99999999997351197</v>
      </c>
      <c r="N146" s="1"/>
    </row>
    <row r="147" spans="1:14" x14ac:dyDescent="0.3">
      <c r="A147" t="s">
        <v>31</v>
      </c>
      <c r="B147">
        <v>396</v>
      </c>
      <c r="C147">
        <v>1.48</v>
      </c>
      <c r="E147">
        <v>1</v>
      </c>
      <c r="F147">
        <v>298</v>
      </c>
      <c r="G147">
        <v>0.5</v>
      </c>
      <c r="H147">
        <v>795.18163189999996</v>
      </c>
      <c r="I147">
        <v>5.5</v>
      </c>
      <c r="J147">
        <v>178.85534326941701</v>
      </c>
      <c r="K147">
        <v>616.32628863874595</v>
      </c>
      <c r="L147">
        <v>616.32628863058289</v>
      </c>
      <c r="M147">
        <v>1.0000000000132447</v>
      </c>
      <c r="N147" s="1"/>
    </row>
    <row r="148" spans="1:14" x14ac:dyDescent="0.3">
      <c r="A148" t="s">
        <v>31</v>
      </c>
      <c r="B148">
        <v>396</v>
      </c>
      <c r="C148">
        <v>1.48</v>
      </c>
      <c r="E148">
        <v>1</v>
      </c>
      <c r="F148">
        <v>298</v>
      </c>
      <c r="G148">
        <v>0.5</v>
      </c>
      <c r="H148">
        <v>955.46551150000005</v>
      </c>
      <c r="I148">
        <v>5.5</v>
      </c>
      <c r="J148">
        <v>228.93480299664199</v>
      </c>
      <c r="K148">
        <v>726.53070852588303</v>
      </c>
      <c r="L148">
        <v>726.53070850335803</v>
      </c>
      <c r="M148">
        <v>1.0000000000310034</v>
      </c>
      <c r="N148" s="1"/>
    </row>
    <row r="149" spans="1:14" x14ac:dyDescent="0.3">
      <c r="A149" t="s">
        <v>31</v>
      </c>
      <c r="B149">
        <v>396</v>
      </c>
      <c r="C149">
        <v>1.48</v>
      </c>
      <c r="E149">
        <v>1</v>
      </c>
      <c r="F149">
        <v>298</v>
      </c>
      <c r="G149">
        <v>0.5</v>
      </c>
      <c r="H149">
        <v>1122.21504</v>
      </c>
      <c r="I149">
        <v>5.5</v>
      </c>
      <c r="J149">
        <v>281.398964245912</v>
      </c>
      <c r="K149">
        <v>840.81607581874005</v>
      </c>
      <c r="L149">
        <v>840.81607575408805</v>
      </c>
      <c r="M149">
        <v>1.000000000076892</v>
      </c>
      <c r="N149" s="1"/>
    </row>
    <row r="150" spans="1:14" x14ac:dyDescent="0.3">
      <c r="A150" t="s">
        <v>31</v>
      </c>
      <c r="B150">
        <v>396</v>
      </c>
      <c r="C150">
        <v>1.48</v>
      </c>
      <c r="E150">
        <v>1</v>
      </c>
      <c r="F150">
        <v>298</v>
      </c>
      <c r="G150">
        <v>0.5</v>
      </c>
      <c r="H150">
        <v>1297.4951699999999</v>
      </c>
      <c r="I150">
        <v>5.5</v>
      </c>
      <c r="J150">
        <v>350.55640003163302</v>
      </c>
      <c r="K150">
        <v>946.93876979054096</v>
      </c>
      <c r="L150">
        <v>946.93876996836684</v>
      </c>
      <c r="M150">
        <v>0.99999999981220977</v>
      </c>
      <c r="N150" s="1"/>
    </row>
    <row r="151" spans="1:14" x14ac:dyDescent="0.3">
      <c r="A151" t="s">
        <v>31</v>
      </c>
      <c r="B151">
        <v>396</v>
      </c>
      <c r="C151">
        <v>1.48</v>
      </c>
      <c r="E151">
        <v>1</v>
      </c>
      <c r="F151">
        <v>298</v>
      </c>
      <c r="G151">
        <v>0.5</v>
      </c>
      <c r="H151">
        <v>1777.061193</v>
      </c>
      <c r="I151">
        <v>5.5</v>
      </c>
      <c r="J151">
        <v>548.48971935954796</v>
      </c>
      <c r="K151">
        <v>1228.57147416984</v>
      </c>
      <c r="L151">
        <v>1228.571473640452</v>
      </c>
      <c r="M151">
        <v>1.0000000004308971</v>
      </c>
      <c r="N151" s="1"/>
    </row>
    <row r="152" spans="1:14" x14ac:dyDescent="0.3">
      <c r="A152" t="s">
        <v>31</v>
      </c>
      <c r="B152">
        <v>396</v>
      </c>
      <c r="C152">
        <v>1.48</v>
      </c>
      <c r="E152">
        <v>1</v>
      </c>
      <c r="F152">
        <v>298</v>
      </c>
      <c r="G152">
        <v>0.5</v>
      </c>
      <c r="H152">
        <v>2163.2102410000002</v>
      </c>
      <c r="I152">
        <v>5.5</v>
      </c>
      <c r="J152">
        <v>608.10816711602001</v>
      </c>
      <c r="K152">
        <v>1555.10207370438</v>
      </c>
      <c r="L152">
        <v>1555.1020738839802</v>
      </c>
      <c r="M152">
        <v>0.99999999988450905</v>
      </c>
      <c r="N152" s="1"/>
    </row>
    <row r="153" spans="1:14" x14ac:dyDescent="0.3">
      <c r="A153" t="s">
        <v>31</v>
      </c>
      <c r="B153">
        <v>396</v>
      </c>
      <c r="C153">
        <v>1.48</v>
      </c>
      <c r="E153">
        <v>1</v>
      </c>
      <c r="F153">
        <v>298</v>
      </c>
      <c r="G153">
        <v>0.5</v>
      </c>
      <c r="H153">
        <v>2813.7926990000001</v>
      </c>
      <c r="I153">
        <v>5.5</v>
      </c>
      <c r="J153">
        <v>760.73142976080305</v>
      </c>
      <c r="K153">
        <v>2053.0612691349302</v>
      </c>
      <c r="L153">
        <v>2053.0612692391969</v>
      </c>
      <c r="M153">
        <v>0.99999999994921396</v>
      </c>
      <c r="N153" s="1"/>
    </row>
    <row r="154" spans="1:14" x14ac:dyDescent="0.3">
      <c r="A154" t="s">
        <v>31</v>
      </c>
      <c r="B154">
        <v>396</v>
      </c>
      <c r="C154">
        <v>1.48</v>
      </c>
      <c r="E154">
        <v>1</v>
      </c>
      <c r="F154">
        <v>298</v>
      </c>
      <c r="G154">
        <v>0.5</v>
      </c>
      <c r="H154">
        <v>2900.3308259999999</v>
      </c>
      <c r="I154">
        <v>5.5</v>
      </c>
      <c r="J154">
        <v>851.35136118600303</v>
      </c>
      <c r="K154">
        <v>2048.9794653686399</v>
      </c>
      <c r="L154">
        <v>2048.9794648139969</v>
      </c>
      <c r="M154">
        <v>1.0000000002706924</v>
      </c>
      <c r="N154" s="1"/>
    </row>
    <row r="155" spans="1:14" x14ac:dyDescent="0.3">
      <c r="A155" t="s">
        <v>31</v>
      </c>
      <c r="B155">
        <v>396</v>
      </c>
      <c r="C155">
        <v>1.48</v>
      </c>
      <c r="E155">
        <v>1</v>
      </c>
      <c r="F155">
        <v>298</v>
      </c>
      <c r="G155">
        <v>0.5</v>
      </c>
      <c r="H155">
        <v>3283.585994</v>
      </c>
      <c r="I155">
        <v>5.5</v>
      </c>
      <c r="J155">
        <v>1230.5247253053799</v>
      </c>
      <c r="K155">
        <v>2053.0612691349302</v>
      </c>
      <c r="L155">
        <v>2053.0612686946201</v>
      </c>
      <c r="M155">
        <v>1.0000000002144651</v>
      </c>
      <c r="N155" s="1"/>
    </row>
    <row r="156" spans="1:14" x14ac:dyDescent="0.3">
      <c r="A156" t="s">
        <v>33</v>
      </c>
      <c r="B156">
        <v>7.4160000000000004</v>
      </c>
      <c r="E156">
        <v>1</v>
      </c>
      <c r="F156">
        <v>298</v>
      </c>
      <c r="G156">
        <v>4</v>
      </c>
      <c r="H156">
        <v>500</v>
      </c>
      <c r="I156">
        <v>1.95683518984225</v>
      </c>
      <c r="J156">
        <v>58.66901</v>
      </c>
      <c r="K156">
        <v>441.33099000014801</v>
      </c>
      <c r="L156">
        <v>441.33098999999999</v>
      </c>
      <c r="M156">
        <v>1.0000000000003353</v>
      </c>
      <c r="N156" s="1" t="s">
        <v>34</v>
      </c>
    </row>
    <row r="157" spans="1:14" x14ac:dyDescent="0.3">
      <c r="A157" t="s">
        <v>33</v>
      </c>
      <c r="B157">
        <v>7.4160000000000004</v>
      </c>
      <c r="E157">
        <v>1</v>
      </c>
      <c r="F157">
        <v>298</v>
      </c>
      <c r="G157">
        <v>4</v>
      </c>
      <c r="H157">
        <v>500</v>
      </c>
      <c r="I157">
        <v>3.9856120043860699</v>
      </c>
      <c r="J157">
        <v>155.86689770000001</v>
      </c>
      <c r="K157">
        <v>344.13310234037999</v>
      </c>
      <c r="L157">
        <v>344.13310230000002</v>
      </c>
      <c r="M157">
        <v>1.0000000001173381</v>
      </c>
      <c r="N157" s="1"/>
    </row>
    <row r="158" spans="1:14" x14ac:dyDescent="0.3">
      <c r="A158" t="s">
        <v>33</v>
      </c>
      <c r="B158">
        <v>7.4160000000000004</v>
      </c>
      <c r="E158">
        <v>1</v>
      </c>
      <c r="F158">
        <v>298</v>
      </c>
      <c r="G158">
        <v>4</v>
      </c>
      <c r="H158">
        <v>500</v>
      </c>
      <c r="I158">
        <v>6.0000005488773196</v>
      </c>
      <c r="J158">
        <v>400.17521549999998</v>
      </c>
      <c r="K158">
        <v>99.824784469598697</v>
      </c>
      <c r="L158">
        <v>99.824784500000021</v>
      </c>
      <c r="M158">
        <v>0.99999999969545317</v>
      </c>
      <c r="N158" s="1"/>
    </row>
    <row r="159" spans="1:14" x14ac:dyDescent="0.3">
      <c r="A159" t="s">
        <v>33</v>
      </c>
      <c r="B159">
        <v>7.4160000000000004</v>
      </c>
      <c r="E159">
        <v>1</v>
      </c>
      <c r="F159">
        <v>298</v>
      </c>
      <c r="G159">
        <v>4</v>
      </c>
      <c r="H159">
        <v>500</v>
      </c>
      <c r="I159">
        <v>8.0000008233159701</v>
      </c>
      <c r="J159">
        <v>392.29422449999998</v>
      </c>
      <c r="K159">
        <v>107.70577553198299</v>
      </c>
      <c r="L159">
        <v>107.70577550000002</v>
      </c>
      <c r="M159">
        <v>1.0000000002969476</v>
      </c>
      <c r="N159" s="1"/>
    </row>
    <row r="160" spans="1:14" x14ac:dyDescent="0.3">
      <c r="A160" t="s">
        <v>33</v>
      </c>
      <c r="B160">
        <v>7.4160000000000004</v>
      </c>
      <c r="E160">
        <v>1</v>
      </c>
      <c r="F160">
        <v>298</v>
      </c>
      <c r="G160">
        <v>4</v>
      </c>
      <c r="H160">
        <v>500</v>
      </c>
      <c r="I160">
        <v>10.014389367807199</v>
      </c>
      <c r="J160">
        <v>448.33630429999999</v>
      </c>
      <c r="K160">
        <v>51.663695745616998</v>
      </c>
      <c r="L160">
        <v>51.663695700000005</v>
      </c>
      <c r="M160">
        <v>1.0000000008829604</v>
      </c>
      <c r="N160" s="1"/>
    </row>
    <row r="161" spans="1:14" x14ac:dyDescent="0.3">
      <c r="A161" t="s">
        <v>33</v>
      </c>
      <c r="B161">
        <v>7.4160000000000004</v>
      </c>
      <c r="E161">
        <v>1</v>
      </c>
      <c r="F161">
        <v>298</v>
      </c>
      <c r="G161">
        <v>4</v>
      </c>
      <c r="H161">
        <v>101.05580797955101</v>
      </c>
      <c r="I161">
        <v>3.5</v>
      </c>
      <c r="J161">
        <v>28.32863386</v>
      </c>
      <c r="K161">
        <v>72.727174135544601</v>
      </c>
      <c r="L161">
        <v>72.727174119551009</v>
      </c>
      <c r="M161">
        <v>1.0000000002199121</v>
      </c>
      <c r="N161" s="1"/>
    </row>
    <row r="162" spans="1:14" x14ac:dyDescent="0.3">
      <c r="A162" t="s">
        <v>33</v>
      </c>
      <c r="B162">
        <v>7.4160000000000004</v>
      </c>
      <c r="E162">
        <v>1</v>
      </c>
      <c r="F162">
        <v>298</v>
      </c>
      <c r="G162">
        <v>4</v>
      </c>
      <c r="H162">
        <v>300.15087902871198</v>
      </c>
      <c r="I162">
        <v>3.5</v>
      </c>
      <c r="J162">
        <v>29.0766542</v>
      </c>
      <c r="K162">
        <v>271.07422477388599</v>
      </c>
      <c r="L162">
        <v>271.07422482871198</v>
      </c>
      <c r="M162">
        <v>0.99999999979774545</v>
      </c>
      <c r="N162" s="1"/>
    </row>
    <row r="163" spans="1:14" x14ac:dyDescent="0.3">
      <c r="A163" t="s">
        <v>33</v>
      </c>
      <c r="B163">
        <v>7.4160000000000004</v>
      </c>
      <c r="E163">
        <v>1</v>
      </c>
      <c r="F163">
        <v>298</v>
      </c>
      <c r="G163">
        <v>4</v>
      </c>
      <c r="H163">
        <v>500.75410745903201</v>
      </c>
      <c r="I163">
        <v>3.5</v>
      </c>
      <c r="J163">
        <v>32.985510300000001</v>
      </c>
      <c r="K163">
        <v>467.76859717782298</v>
      </c>
      <c r="L163">
        <v>467.76859715903203</v>
      </c>
      <c r="M163">
        <v>1.0000000000401714</v>
      </c>
      <c r="N163" s="1"/>
    </row>
    <row r="164" spans="1:14" x14ac:dyDescent="0.3">
      <c r="A164" t="s">
        <v>33</v>
      </c>
      <c r="B164">
        <v>7.4160000000000004</v>
      </c>
      <c r="E164">
        <v>1</v>
      </c>
      <c r="F164">
        <v>298</v>
      </c>
      <c r="G164">
        <v>4</v>
      </c>
      <c r="H164">
        <v>600.30158544670701</v>
      </c>
      <c r="I164">
        <v>3.5</v>
      </c>
      <c r="J164">
        <v>3.6073769000000002</v>
      </c>
      <c r="K164">
        <v>596.69420846652804</v>
      </c>
      <c r="L164">
        <v>596.69420854670705</v>
      </c>
      <c r="M164">
        <v>0.99999999986562793</v>
      </c>
      <c r="N164" s="1"/>
    </row>
    <row r="165" spans="1:14" x14ac:dyDescent="0.3">
      <c r="A165" t="s">
        <v>33</v>
      </c>
      <c r="B165">
        <v>7.4160000000000004</v>
      </c>
      <c r="E165">
        <v>1</v>
      </c>
      <c r="F165">
        <v>298</v>
      </c>
      <c r="G165">
        <v>4</v>
      </c>
      <c r="H165">
        <v>800.90492895083901</v>
      </c>
      <c r="I165">
        <v>3.5</v>
      </c>
      <c r="J165">
        <v>7.3595214999999996</v>
      </c>
      <c r="K165">
        <v>793.26445045989601</v>
      </c>
      <c r="L165">
        <v>793.54540745083898</v>
      </c>
      <c r="M165">
        <v>0.9996459471779372</v>
      </c>
      <c r="N165" s="1"/>
    </row>
    <row r="166" spans="1:14" x14ac:dyDescent="0.3">
      <c r="A166" t="s">
        <v>33</v>
      </c>
      <c r="B166">
        <v>7.4160000000000004</v>
      </c>
      <c r="E166">
        <v>1</v>
      </c>
      <c r="F166">
        <v>298</v>
      </c>
      <c r="G166">
        <v>4</v>
      </c>
      <c r="H166">
        <v>1001.50815738115</v>
      </c>
      <c r="I166">
        <v>3.5</v>
      </c>
      <c r="J166">
        <v>70.929675200000005</v>
      </c>
      <c r="K166">
        <v>930.57848183429996</v>
      </c>
      <c r="L166">
        <v>930.57848218114998</v>
      </c>
      <c r="M166">
        <v>0.99999999962727482</v>
      </c>
      <c r="N166" s="1"/>
    </row>
    <row r="167" spans="1:14" x14ac:dyDescent="0.3">
      <c r="A167" t="s">
        <v>33</v>
      </c>
      <c r="B167">
        <v>7.4160000000000004</v>
      </c>
      <c r="E167">
        <v>1</v>
      </c>
      <c r="F167">
        <v>308</v>
      </c>
      <c r="G167">
        <v>4</v>
      </c>
      <c r="H167">
        <v>101.05580797955101</v>
      </c>
      <c r="I167">
        <v>3.5</v>
      </c>
      <c r="J167">
        <v>58.080625249999997</v>
      </c>
      <c r="K167">
        <v>42.975182745285103</v>
      </c>
      <c r="L167">
        <v>42.975182729551008</v>
      </c>
      <c r="M167">
        <v>1.0000000003661205</v>
      </c>
      <c r="N167" s="1"/>
    </row>
    <row r="168" spans="1:14" x14ac:dyDescent="0.3">
      <c r="A168" t="s">
        <v>33</v>
      </c>
      <c r="B168">
        <v>7.4160000000000004</v>
      </c>
      <c r="E168">
        <v>1</v>
      </c>
      <c r="F168">
        <v>308</v>
      </c>
      <c r="G168">
        <v>4</v>
      </c>
      <c r="H168">
        <v>300.15087902871198</v>
      </c>
      <c r="I168">
        <v>3.5</v>
      </c>
      <c r="J168">
        <v>60.481513</v>
      </c>
      <c r="K168">
        <v>239.66936599067299</v>
      </c>
      <c r="L168">
        <v>239.66936602871198</v>
      </c>
      <c r="M168">
        <v>0.99999999984128551</v>
      </c>
      <c r="N168" s="1"/>
    </row>
    <row r="169" spans="1:14" x14ac:dyDescent="0.3">
      <c r="A169" t="s">
        <v>33</v>
      </c>
      <c r="B169">
        <v>7.4160000000000004</v>
      </c>
      <c r="E169">
        <v>1</v>
      </c>
      <c r="F169">
        <v>308</v>
      </c>
      <c r="G169">
        <v>4</v>
      </c>
      <c r="H169">
        <v>500.75410745903201</v>
      </c>
      <c r="I169">
        <v>3.5</v>
      </c>
      <c r="J169">
        <v>44.555771200000002</v>
      </c>
      <c r="K169">
        <v>456.198336268601</v>
      </c>
      <c r="L169">
        <v>456.19833625903203</v>
      </c>
      <c r="M169">
        <v>1.0000000000209754</v>
      </c>
      <c r="N169" s="1"/>
    </row>
    <row r="170" spans="1:14" x14ac:dyDescent="0.3">
      <c r="A170" t="s">
        <v>33</v>
      </c>
      <c r="B170">
        <v>7.4160000000000004</v>
      </c>
      <c r="E170">
        <v>1</v>
      </c>
      <c r="F170">
        <v>308</v>
      </c>
      <c r="G170">
        <v>4</v>
      </c>
      <c r="H170">
        <v>598.79331299173498</v>
      </c>
      <c r="I170">
        <v>3.5</v>
      </c>
      <c r="J170">
        <v>88.049533100000005</v>
      </c>
      <c r="K170">
        <v>510.74377992310798</v>
      </c>
      <c r="L170">
        <v>510.74377989173496</v>
      </c>
      <c r="M170">
        <v>1.0000000000614262</v>
      </c>
      <c r="N170" s="1"/>
    </row>
    <row r="171" spans="1:14" x14ac:dyDescent="0.3">
      <c r="A171" t="s">
        <v>33</v>
      </c>
      <c r="B171">
        <v>7.4160000000000004</v>
      </c>
      <c r="E171">
        <v>1</v>
      </c>
      <c r="F171">
        <v>308</v>
      </c>
      <c r="G171">
        <v>4</v>
      </c>
      <c r="H171">
        <v>799.39665649586698</v>
      </c>
      <c r="I171">
        <v>3.5</v>
      </c>
      <c r="J171">
        <v>101.87599229999999</v>
      </c>
      <c r="K171">
        <v>697.520664231502</v>
      </c>
      <c r="L171">
        <v>697.52066419586697</v>
      </c>
      <c r="M171">
        <v>1.000000000051088</v>
      </c>
      <c r="N171" s="1"/>
    </row>
    <row r="172" spans="1:14" x14ac:dyDescent="0.3">
      <c r="A172" t="s">
        <v>33</v>
      </c>
      <c r="B172">
        <v>7.4160000000000004</v>
      </c>
      <c r="E172">
        <v>1</v>
      </c>
      <c r="F172">
        <v>308</v>
      </c>
      <c r="G172">
        <v>4</v>
      </c>
      <c r="H172">
        <v>1000</v>
      </c>
      <c r="I172">
        <v>3.5</v>
      </c>
      <c r="J172">
        <v>82.644630699999993</v>
      </c>
      <c r="K172">
        <v>917.355369295336</v>
      </c>
      <c r="L172">
        <v>917.35536930000001</v>
      </c>
      <c r="M172">
        <v>0.99999999999491584</v>
      </c>
      <c r="N172" s="1"/>
    </row>
    <row r="173" spans="1:14" x14ac:dyDescent="0.3">
      <c r="A173" t="s">
        <v>33</v>
      </c>
      <c r="B173">
        <v>7.4160000000000004</v>
      </c>
      <c r="E173">
        <v>1</v>
      </c>
      <c r="F173">
        <v>318</v>
      </c>
      <c r="G173">
        <v>4</v>
      </c>
      <c r="H173">
        <v>102.56408043452301</v>
      </c>
      <c r="I173">
        <v>3.5</v>
      </c>
      <c r="J173">
        <v>74.464956400000005</v>
      </c>
      <c r="K173">
        <v>28.099123997305998</v>
      </c>
      <c r="L173">
        <v>28.099124034523001</v>
      </c>
      <c r="M173">
        <v>0.99999999867551026</v>
      </c>
      <c r="N173" s="1"/>
    </row>
    <row r="174" spans="1:14" x14ac:dyDescent="0.3">
      <c r="A174" t="s">
        <v>33</v>
      </c>
      <c r="B174">
        <v>7.4160000000000004</v>
      </c>
      <c r="E174">
        <v>1</v>
      </c>
      <c r="F174">
        <v>318</v>
      </c>
      <c r="G174">
        <v>4</v>
      </c>
      <c r="H174">
        <v>300.15087902871198</v>
      </c>
      <c r="I174">
        <v>3.5</v>
      </c>
      <c r="J174">
        <v>81.969104400000006</v>
      </c>
      <c r="K174">
        <v>218.181774618031</v>
      </c>
      <c r="L174">
        <v>218.18177462871199</v>
      </c>
      <c r="M174">
        <v>0.99999999995104549</v>
      </c>
      <c r="N174" s="1"/>
    </row>
    <row r="175" spans="1:14" x14ac:dyDescent="0.3">
      <c r="A175" t="s">
        <v>33</v>
      </c>
      <c r="B175">
        <v>7.4160000000000004</v>
      </c>
      <c r="E175">
        <v>1</v>
      </c>
      <c r="F175">
        <v>318</v>
      </c>
      <c r="G175">
        <v>4</v>
      </c>
      <c r="H175">
        <v>500.75410745903201</v>
      </c>
      <c r="I175">
        <v>3.5</v>
      </c>
      <c r="J175">
        <v>97.448347499999997</v>
      </c>
      <c r="K175">
        <v>403.30576000704599</v>
      </c>
      <c r="L175">
        <v>403.305759959032</v>
      </c>
      <c r="M175">
        <v>1.000000000119051</v>
      </c>
      <c r="N175" s="1"/>
    </row>
    <row r="176" spans="1:14" x14ac:dyDescent="0.3">
      <c r="A176" t="s">
        <v>33</v>
      </c>
      <c r="B176">
        <v>7.4160000000000004</v>
      </c>
      <c r="E176">
        <v>1</v>
      </c>
      <c r="F176">
        <v>318</v>
      </c>
      <c r="G176">
        <v>4</v>
      </c>
      <c r="H176">
        <v>601.80997297549004</v>
      </c>
      <c r="I176">
        <v>3.5</v>
      </c>
      <c r="J176">
        <v>137.34717370000001</v>
      </c>
      <c r="K176">
        <v>464.46279933906698</v>
      </c>
      <c r="L176">
        <v>464.46279927549006</v>
      </c>
      <c r="M176">
        <v>1.0000000001368827</v>
      </c>
      <c r="N176" s="1"/>
    </row>
    <row r="177" spans="1:14" x14ac:dyDescent="0.3">
      <c r="A177" t="s">
        <v>33</v>
      </c>
      <c r="B177">
        <v>7.4160000000000004</v>
      </c>
      <c r="E177">
        <v>1</v>
      </c>
      <c r="F177">
        <v>318</v>
      </c>
      <c r="G177">
        <v>4</v>
      </c>
      <c r="H177">
        <v>802.41320140581001</v>
      </c>
      <c r="I177">
        <v>3.5</v>
      </c>
      <c r="J177">
        <v>132.9917873</v>
      </c>
      <c r="K177">
        <v>669.42141412849696</v>
      </c>
      <c r="L177">
        <v>669.42141410581007</v>
      </c>
      <c r="M177">
        <v>1.0000000000338902</v>
      </c>
      <c r="N177" s="1"/>
    </row>
    <row r="178" spans="1:14" x14ac:dyDescent="0.3">
      <c r="A178" t="s">
        <v>33</v>
      </c>
      <c r="B178">
        <v>7.4160000000000004</v>
      </c>
      <c r="E178">
        <v>1</v>
      </c>
      <c r="F178">
        <v>318</v>
      </c>
      <c r="G178">
        <v>4</v>
      </c>
      <c r="H178">
        <v>1001.50815738115</v>
      </c>
      <c r="I178">
        <v>3.5</v>
      </c>
      <c r="J178">
        <v>118.86353889999999</v>
      </c>
      <c r="K178">
        <v>882.64461809409295</v>
      </c>
      <c r="L178">
        <v>882.64461848115002</v>
      </c>
      <c r="M178">
        <v>0.99999999956148033</v>
      </c>
      <c r="N178" s="1"/>
    </row>
    <row r="179" spans="1:14" x14ac:dyDescent="0.3">
      <c r="A179" t="s">
        <v>33</v>
      </c>
      <c r="B179">
        <v>7.4160000000000004</v>
      </c>
      <c r="E179">
        <v>1</v>
      </c>
      <c r="F179">
        <v>298</v>
      </c>
      <c r="G179">
        <v>4</v>
      </c>
      <c r="H179">
        <v>2.0350998059999998</v>
      </c>
      <c r="I179">
        <v>3.5</v>
      </c>
      <c r="J179">
        <v>0.58100338426972364</v>
      </c>
      <c r="K179">
        <v>1.4540964218478518</v>
      </c>
      <c r="L179">
        <v>1.4540964217302763</v>
      </c>
      <c r="M179">
        <v>1.0000000000808582</v>
      </c>
      <c r="N179" s="1"/>
    </row>
    <row r="180" spans="1:14" x14ac:dyDescent="0.3">
      <c r="A180" t="s">
        <v>33</v>
      </c>
      <c r="B180">
        <v>7.4160000000000004</v>
      </c>
      <c r="E180">
        <v>1</v>
      </c>
      <c r="F180">
        <v>298</v>
      </c>
      <c r="G180">
        <v>4</v>
      </c>
      <c r="H180">
        <v>2.9286232679999999</v>
      </c>
      <c r="I180">
        <v>3.5</v>
      </c>
      <c r="J180">
        <v>1.2194529431014955</v>
      </c>
      <c r="K180">
        <v>1.7091703254509265</v>
      </c>
      <c r="L180">
        <v>1.7091703248985044</v>
      </c>
      <c r="M180">
        <v>1.0000000003232108</v>
      </c>
      <c r="N180" s="1"/>
    </row>
    <row r="181" spans="1:14" x14ac:dyDescent="0.3">
      <c r="A181" t="s">
        <v>33</v>
      </c>
      <c r="B181">
        <v>7.4160000000000004</v>
      </c>
      <c r="E181">
        <v>1</v>
      </c>
      <c r="F181">
        <v>298</v>
      </c>
      <c r="G181">
        <v>4</v>
      </c>
      <c r="H181">
        <v>3.17526251</v>
      </c>
      <c r="I181">
        <v>3.5</v>
      </c>
      <c r="J181">
        <v>1.3697780713083099</v>
      </c>
      <c r="K181">
        <v>1.8054844390164022</v>
      </c>
      <c r="L181">
        <v>1.8054844386916902</v>
      </c>
      <c r="M181">
        <v>1.0000000001798477</v>
      </c>
      <c r="N181" s="1"/>
    </row>
    <row r="182" spans="1:14" x14ac:dyDescent="0.3">
      <c r="A182" t="s">
        <v>33</v>
      </c>
      <c r="B182">
        <v>7.4160000000000004</v>
      </c>
      <c r="E182">
        <v>1</v>
      </c>
      <c r="F182">
        <v>298</v>
      </c>
      <c r="G182">
        <v>4</v>
      </c>
      <c r="H182">
        <v>3.2724457259999999</v>
      </c>
      <c r="I182">
        <v>3.5</v>
      </c>
      <c r="J182">
        <v>1.4297961045307692</v>
      </c>
      <c r="K182">
        <v>1.8426496209932366</v>
      </c>
      <c r="L182">
        <v>1.8426496214692307</v>
      </c>
      <c r="M182">
        <v>0.99999999974167952</v>
      </c>
      <c r="N182" s="1"/>
    </row>
    <row r="183" spans="1:14" x14ac:dyDescent="0.3">
      <c r="A183" t="s">
        <v>33</v>
      </c>
      <c r="B183">
        <v>7.4160000000000004</v>
      </c>
      <c r="E183">
        <v>1</v>
      </c>
      <c r="F183">
        <v>298</v>
      </c>
      <c r="G183">
        <v>4</v>
      </c>
      <c r="H183">
        <v>3.321250933</v>
      </c>
      <c r="I183">
        <v>3.5</v>
      </c>
      <c r="J183">
        <v>1.43575295783824</v>
      </c>
      <c r="K183">
        <v>1.8854979754928682</v>
      </c>
      <c r="L183">
        <v>1.88549797516176</v>
      </c>
      <c r="M183">
        <v>1.0000000001756078</v>
      </c>
      <c r="N183" s="1"/>
    </row>
    <row r="184" spans="1:14" x14ac:dyDescent="0.3">
      <c r="A184" t="s">
        <v>33</v>
      </c>
      <c r="B184">
        <v>7.4160000000000004</v>
      </c>
      <c r="E184">
        <v>1</v>
      </c>
      <c r="F184">
        <v>298</v>
      </c>
      <c r="G184">
        <v>4</v>
      </c>
      <c r="H184">
        <v>3.4155087150000001</v>
      </c>
      <c r="I184">
        <v>3.5</v>
      </c>
      <c r="J184">
        <v>1.4990378224711456</v>
      </c>
      <c r="K184">
        <v>1.9164708925887399</v>
      </c>
      <c r="L184">
        <v>1.9164708925288545</v>
      </c>
      <c r="M184">
        <v>1.0000000000312477</v>
      </c>
      <c r="N184" s="1"/>
    </row>
    <row r="185" spans="1:14" x14ac:dyDescent="0.3">
      <c r="A185" t="s">
        <v>35</v>
      </c>
      <c r="B185">
        <v>241.67</v>
      </c>
      <c r="C185">
        <v>0.33</v>
      </c>
      <c r="D185">
        <v>5.54</v>
      </c>
      <c r="E185">
        <v>1</v>
      </c>
      <c r="F185">
        <v>298</v>
      </c>
      <c r="G185">
        <v>2</v>
      </c>
      <c r="H185">
        <v>149.521549822021</v>
      </c>
      <c r="J185">
        <v>22.704099299999999</v>
      </c>
      <c r="K185">
        <v>126.817450532498</v>
      </c>
      <c r="L185">
        <v>126.81745052202101</v>
      </c>
      <c r="M185">
        <v>1.0000000000826148</v>
      </c>
      <c r="N185" s="1" t="s">
        <v>39</v>
      </c>
    </row>
    <row r="186" spans="1:14" x14ac:dyDescent="0.3">
      <c r="A186" t="s">
        <v>35</v>
      </c>
      <c r="B186">
        <v>241.67</v>
      </c>
      <c r="C186">
        <v>0.33</v>
      </c>
      <c r="D186">
        <v>5.54</v>
      </c>
      <c r="E186">
        <v>1</v>
      </c>
      <c r="F186">
        <v>298</v>
      </c>
      <c r="G186">
        <v>2</v>
      </c>
      <c r="H186">
        <v>199.16266941008399</v>
      </c>
      <c r="J186">
        <v>56.5940169</v>
      </c>
      <c r="K186">
        <v>142.568652531868</v>
      </c>
      <c r="L186">
        <v>142.56865251008401</v>
      </c>
      <c r="M186">
        <v>1.0000000001527964</v>
      </c>
      <c r="N186" s="1"/>
    </row>
    <row r="187" spans="1:14" x14ac:dyDescent="0.3">
      <c r="A187" t="s">
        <v>35</v>
      </c>
      <c r="B187">
        <v>241.67</v>
      </c>
      <c r="C187">
        <v>0.33</v>
      </c>
      <c r="D187">
        <v>5.54</v>
      </c>
      <c r="E187">
        <v>1</v>
      </c>
      <c r="F187">
        <v>298</v>
      </c>
      <c r="G187">
        <v>2</v>
      </c>
      <c r="H187">
        <v>249.40191161045499</v>
      </c>
      <c r="J187">
        <v>95.524684800000003</v>
      </c>
      <c r="K187">
        <v>153.87722677555001</v>
      </c>
      <c r="L187">
        <v>153.877226810455</v>
      </c>
      <c r="M187">
        <v>0.99999999977316345</v>
      </c>
      <c r="N187" s="1"/>
    </row>
    <row r="188" spans="1:14" x14ac:dyDescent="0.3">
      <c r="A188" t="s">
        <v>35</v>
      </c>
      <c r="B188">
        <v>241.67</v>
      </c>
      <c r="C188">
        <v>0.33</v>
      </c>
      <c r="D188">
        <v>5.54</v>
      </c>
      <c r="E188">
        <v>1</v>
      </c>
      <c r="F188">
        <v>298</v>
      </c>
      <c r="G188">
        <v>2</v>
      </c>
      <c r="H188">
        <v>299.64115381082502</v>
      </c>
      <c r="J188">
        <v>125.16619540000001</v>
      </c>
      <c r="K188">
        <v>174.47495839268501</v>
      </c>
      <c r="L188">
        <v>174.47495841082502</v>
      </c>
      <c r="M188">
        <v>0.99999999989603083</v>
      </c>
      <c r="N188" s="1"/>
    </row>
    <row r="189" spans="1:14" x14ac:dyDescent="0.3">
      <c r="A189" t="s">
        <v>35</v>
      </c>
      <c r="B189">
        <v>241.67</v>
      </c>
      <c r="C189">
        <v>0.33</v>
      </c>
      <c r="D189">
        <v>5.54</v>
      </c>
      <c r="E189">
        <v>1</v>
      </c>
      <c r="F189">
        <v>298</v>
      </c>
      <c r="G189">
        <v>2</v>
      </c>
      <c r="H189">
        <v>350.47847299315299</v>
      </c>
      <c r="J189">
        <v>174.3880073</v>
      </c>
      <c r="K189">
        <v>176.090465697491</v>
      </c>
      <c r="L189">
        <v>176.09046569315299</v>
      </c>
      <c r="M189">
        <v>1.0000000000246352</v>
      </c>
      <c r="N189" s="1"/>
    </row>
    <row r="190" spans="1:14" x14ac:dyDescent="0.3">
      <c r="A190" t="s">
        <v>35</v>
      </c>
      <c r="B190">
        <v>241.67</v>
      </c>
      <c r="C190">
        <v>0.33</v>
      </c>
      <c r="D190">
        <v>5.54</v>
      </c>
      <c r="E190">
        <v>1</v>
      </c>
      <c r="F190">
        <v>298</v>
      </c>
      <c r="G190">
        <v>2</v>
      </c>
      <c r="H190">
        <v>450.95695739389299</v>
      </c>
      <c r="J190">
        <v>241.74857270000001</v>
      </c>
      <c r="K190">
        <v>209.20838470438301</v>
      </c>
      <c r="L190">
        <v>209.20838469389298</v>
      </c>
      <c r="M190">
        <v>1.0000000000501414</v>
      </c>
      <c r="N190" s="1"/>
    </row>
    <row r="191" spans="1:14" x14ac:dyDescent="0.3">
      <c r="A191" t="s">
        <v>36</v>
      </c>
      <c r="B191">
        <v>128.08000000000001</v>
      </c>
      <c r="C191">
        <v>0.28000000000000003</v>
      </c>
      <c r="D191">
        <v>8.7899999999999991</v>
      </c>
      <c r="E191">
        <v>1</v>
      </c>
      <c r="F191">
        <v>298</v>
      </c>
      <c r="G191">
        <v>2</v>
      </c>
      <c r="H191">
        <v>49.641142403238199</v>
      </c>
      <c r="J191">
        <v>1.5797480800000001</v>
      </c>
      <c r="K191">
        <v>48.061394315571199</v>
      </c>
      <c r="L191">
        <v>48.061394323238197</v>
      </c>
      <c r="M191">
        <v>0.99999999984047494</v>
      </c>
      <c r="N191" s="1"/>
    </row>
    <row r="192" spans="1:14" x14ac:dyDescent="0.3">
      <c r="A192" t="s">
        <v>36</v>
      </c>
      <c r="B192">
        <v>128.08000000000001</v>
      </c>
      <c r="C192">
        <v>0.28000000000000003</v>
      </c>
      <c r="D192">
        <v>8.7899999999999991</v>
      </c>
      <c r="E192">
        <v>1</v>
      </c>
      <c r="F192">
        <v>298</v>
      </c>
      <c r="G192">
        <v>2</v>
      </c>
      <c r="H192">
        <v>99.282307621650801</v>
      </c>
      <c r="J192">
        <v>34.661953799999999</v>
      </c>
      <c r="K192">
        <v>64.620353819017197</v>
      </c>
      <c r="L192">
        <v>64.620353821650809</v>
      </c>
      <c r="M192">
        <v>0.99999999995924482</v>
      </c>
      <c r="N192" s="1"/>
    </row>
    <row r="193" spans="1:14" x14ac:dyDescent="0.3">
      <c r="A193" t="s">
        <v>36</v>
      </c>
      <c r="B193">
        <v>128.08000000000001</v>
      </c>
      <c r="C193">
        <v>0.28000000000000003</v>
      </c>
      <c r="D193">
        <v>8.7899999999999991</v>
      </c>
      <c r="E193">
        <v>1</v>
      </c>
      <c r="F193">
        <v>298</v>
      </c>
      <c r="G193">
        <v>2</v>
      </c>
      <c r="H193">
        <v>149.521549822021</v>
      </c>
      <c r="J193">
        <v>76.823651749999996</v>
      </c>
      <c r="K193">
        <v>72.6978980463943</v>
      </c>
      <c r="L193">
        <v>72.697898072021005</v>
      </c>
      <c r="M193">
        <v>0.99999999964749042</v>
      </c>
      <c r="N193" s="1"/>
    </row>
    <row r="194" spans="1:14" x14ac:dyDescent="0.3">
      <c r="A194" t="s">
        <v>36</v>
      </c>
      <c r="B194">
        <v>128.08000000000001</v>
      </c>
      <c r="C194">
        <v>0.28000000000000003</v>
      </c>
      <c r="D194">
        <v>8.7899999999999991</v>
      </c>
      <c r="E194">
        <v>1</v>
      </c>
      <c r="F194">
        <v>298</v>
      </c>
      <c r="G194">
        <v>2</v>
      </c>
      <c r="H194">
        <v>200.95694598630601</v>
      </c>
      <c r="J194">
        <v>123.00864730000001</v>
      </c>
      <c r="K194">
        <v>77.9482987128509</v>
      </c>
      <c r="L194">
        <v>77.948298686306003</v>
      </c>
      <c r="M194">
        <v>1.0000000003405449</v>
      </c>
      <c r="N194" s="1"/>
    </row>
    <row r="195" spans="1:14" x14ac:dyDescent="0.3">
      <c r="A195" t="s">
        <v>36</v>
      </c>
      <c r="B195">
        <v>128.08000000000001</v>
      </c>
      <c r="C195">
        <v>0.28000000000000003</v>
      </c>
      <c r="D195">
        <v>8.7899999999999991</v>
      </c>
      <c r="E195">
        <v>1</v>
      </c>
      <c r="F195">
        <v>298</v>
      </c>
      <c r="G195">
        <v>2</v>
      </c>
      <c r="H195">
        <v>249.40191161045499</v>
      </c>
      <c r="J195">
        <v>160.95279619999999</v>
      </c>
      <c r="K195">
        <v>88.449115452456894</v>
      </c>
      <c r="L195">
        <v>88.449115410454993</v>
      </c>
      <c r="M195">
        <v>1.0000000004748708</v>
      </c>
      <c r="N195" s="1"/>
    </row>
    <row r="196" spans="1:14" x14ac:dyDescent="0.3">
      <c r="A196" t="s">
        <v>36</v>
      </c>
      <c r="B196">
        <v>128.08000000000001</v>
      </c>
      <c r="C196">
        <v>0.28000000000000003</v>
      </c>
      <c r="D196">
        <v>8.7899999999999991</v>
      </c>
      <c r="E196">
        <v>1</v>
      </c>
      <c r="F196">
        <v>298</v>
      </c>
      <c r="G196">
        <v>2</v>
      </c>
      <c r="H196">
        <v>300.23923079278302</v>
      </c>
      <c r="J196">
        <v>205.32808610000001</v>
      </c>
      <c r="K196">
        <v>94.911144671681498</v>
      </c>
      <c r="L196">
        <v>94.911144692783012</v>
      </c>
      <c r="M196">
        <v>0.99999999977767084</v>
      </c>
      <c r="N196" s="1"/>
    </row>
    <row r="197" spans="1:14" x14ac:dyDescent="0.3">
      <c r="A197" t="s">
        <v>37</v>
      </c>
      <c r="B197">
        <v>192.74</v>
      </c>
      <c r="C197">
        <v>0.57999999999999996</v>
      </c>
      <c r="D197">
        <v>12.09</v>
      </c>
      <c r="E197">
        <v>1</v>
      </c>
      <c r="F197">
        <v>298</v>
      </c>
      <c r="G197">
        <v>2</v>
      </c>
      <c r="H197">
        <v>149.521549822021</v>
      </c>
      <c r="J197">
        <v>40.878573799999998</v>
      </c>
      <c r="K197">
        <v>108.642976020899</v>
      </c>
      <c r="L197">
        <v>108.642976022021</v>
      </c>
      <c r="M197">
        <v>0.99999999998967259</v>
      </c>
      <c r="N197" s="1"/>
    </row>
    <row r="198" spans="1:14" x14ac:dyDescent="0.3">
      <c r="A198" t="s">
        <v>37</v>
      </c>
      <c r="B198">
        <v>192.74</v>
      </c>
      <c r="C198">
        <v>0.57999999999999996</v>
      </c>
      <c r="D198">
        <v>12.09</v>
      </c>
      <c r="E198">
        <v>1</v>
      </c>
      <c r="F198">
        <v>298</v>
      </c>
      <c r="G198">
        <v>2</v>
      </c>
      <c r="H198">
        <v>199.76074639204199</v>
      </c>
      <c r="J198">
        <v>78.193696500000001</v>
      </c>
      <c r="K198">
        <v>121.567049866041</v>
      </c>
      <c r="L198">
        <v>121.56704989204199</v>
      </c>
      <c r="M198">
        <v>0.99999999978611809</v>
      </c>
      <c r="N198" s="1"/>
    </row>
    <row r="199" spans="1:14" x14ac:dyDescent="0.3">
      <c r="A199" t="s">
        <v>37</v>
      </c>
      <c r="B199">
        <v>192.74</v>
      </c>
      <c r="C199">
        <v>0.57999999999999996</v>
      </c>
      <c r="D199">
        <v>12.09</v>
      </c>
      <c r="E199">
        <v>1</v>
      </c>
      <c r="F199">
        <v>298</v>
      </c>
      <c r="G199">
        <v>2</v>
      </c>
      <c r="H199">
        <v>249.999988592412</v>
      </c>
      <c r="J199">
        <v>115.5088803</v>
      </c>
      <c r="K199">
        <v>134.49110830449001</v>
      </c>
      <c r="L199">
        <v>134.49110829241198</v>
      </c>
      <c r="M199">
        <v>1.0000000000898055</v>
      </c>
      <c r="N199" s="1"/>
    </row>
    <row r="200" spans="1:14" x14ac:dyDescent="0.3">
      <c r="A200" t="s">
        <v>37</v>
      </c>
      <c r="B200">
        <v>192.74</v>
      </c>
      <c r="C200">
        <v>0.57999999999999996</v>
      </c>
      <c r="D200">
        <v>12.09</v>
      </c>
      <c r="E200">
        <v>1</v>
      </c>
      <c r="F200">
        <v>298</v>
      </c>
      <c r="G200">
        <v>2</v>
      </c>
      <c r="H200">
        <v>299.64115381082502</v>
      </c>
      <c r="J200">
        <v>155.86085729999999</v>
      </c>
      <c r="K200">
        <v>143.78029649132901</v>
      </c>
      <c r="L200">
        <v>143.78029651082502</v>
      </c>
      <c r="M200">
        <v>0.99999999986440413</v>
      </c>
      <c r="N200" s="1"/>
    </row>
    <row r="201" spans="1:14" x14ac:dyDescent="0.3">
      <c r="A201" t="s">
        <v>37</v>
      </c>
      <c r="B201">
        <v>192.74</v>
      </c>
      <c r="C201">
        <v>0.57999999999999996</v>
      </c>
      <c r="D201">
        <v>12.09</v>
      </c>
      <c r="E201">
        <v>1</v>
      </c>
      <c r="F201">
        <v>298</v>
      </c>
      <c r="G201">
        <v>2</v>
      </c>
      <c r="H201">
        <v>349.88039601119499</v>
      </c>
      <c r="J201">
        <v>200.8496988</v>
      </c>
      <c r="K201">
        <v>149.030697157785</v>
      </c>
      <c r="L201">
        <v>149.03069721119499</v>
      </c>
      <c r="M201">
        <v>0.99999999964161757</v>
      </c>
      <c r="N201" s="1"/>
    </row>
    <row r="202" spans="1:14" x14ac:dyDescent="0.3">
      <c r="A202" t="s">
        <v>37</v>
      </c>
      <c r="B202">
        <v>192.74</v>
      </c>
      <c r="C202">
        <v>0.57999999999999996</v>
      </c>
      <c r="D202">
        <v>12.09</v>
      </c>
      <c r="E202">
        <v>1</v>
      </c>
      <c r="F202">
        <v>298</v>
      </c>
      <c r="G202">
        <v>2</v>
      </c>
      <c r="H202">
        <v>450.35883478158701</v>
      </c>
      <c r="J202">
        <v>291.63509379999999</v>
      </c>
      <c r="K202">
        <v>158.723740986622</v>
      </c>
      <c r="L202">
        <v>158.72374098158701</v>
      </c>
      <c r="M202">
        <v>1.0000000000317217</v>
      </c>
      <c r="N202" s="1"/>
    </row>
    <row r="203" spans="1:14" x14ac:dyDescent="0.3">
      <c r="A203" t="s">
        <v>38</v>
      </c>
      <c r="B203">
        <v>233.82</v>
      </c>
      <c r="C203">
        <v>0.64</v>
      </c>
      <c r="D203">
        <v>10.92</v>
      </c>
      <c r="E203">
        <v>1</v>
      </c>
      <c r="F203">
        <v>298</v>
      </c>
      <c r="G203">
        <v>2</v>
      </c>
      <c r="H203">
        <v>149.521549822021</v>
      </c>
      <c r="J203">
        <v>9.7800253999999995</v>
      </c>
      <c r="K203">
        <v>139.74152437763999</v>
      </c>
      <c r="L203">
        <v>139.741524422021</v>
      </c>
      <c r="M203">
        <v>0.99999999968240638</v>
      </c>
      <c r="N203" s="1"/>
    </row>
    <row r="204" spans="1:14" x14ac:dyDescent="0.3">
      <c r="A204" t="s">
        <v>38</v>
      </c>
      <c r="B204">
        <v>233.82</v>
      </c>
      <c r="C204">
        <v>0.64</v>
      </c>
      <c r="D204">
        <v>10.92</v>
      </c>
      <c r="E204">
        <v>1</v>
      </c>
      <c r="F204">
        <v>298</v>
      </c>
      <c r="G204">
        <v>2</v>
      </c>
      <c r="H204">
        <v>199.76074639204199</v>
      </c>
      <c r="J204">
        <v>45.8835196</v>
      </c>
      <c r="K204">
        <v>153.87722677555001</v>
      </c>
      <c r="L204">
        <v>153.87722679204199</v>
      </c>
      <c r="M204">
        <v>0.99999999989282373</v>
      </c>
      <c r="N204" s="1"/>
    </row>
    <row r="205" spans="1:14" x14ac:dyDescent="0.3">
      <c r="A205" t="s">
        <v>38</v>
      </c>
      <c r="B205">
        <v>233.82</v>
      </c>
      <c r="C205">
        <v>0.64</v>
      </c>
      <c r="D205">
        <v>10.92</v>
      </c>
      <c r="E205">
        <v>1</v>
      </c>
      <c r="F205">
        <v>298</v>
      </c>
      <c r="G205">
        <v>2</v>
      </c>
      <c r="H205">
        <v>249.40191161045499</v>
      </c>
      <c r="J205">
        <v>75.330832000000001</v>
      </c>
      <c r="K205">
        <v>174.07107964064599</v>
      </c>
      <c r="L205">
        <v>174.071079610455</v>
      </c>
      <c r="M205">
        <v>1.0000000001734406</v>
      </c>
      <c r="N205" s="1"/>
    </row>
    <row r="206" spans="1:14" x14ac:dyDescent="0.3">
      <c r="A206" t="s">
        <v>38</v>
      </c>
      <c r="B206">
        <v>233.82</v>
      </c>
      <c r="C206">
        <v>0.64</v>
      </c>
      <c r="D206">
        <v>10.92</v>
      </c>
      <c r="E206">
        <v>1</v>
      </c>
      <c r="F206">
        <v>298</v>
      </c>
      <c r="G206">
        <v>2</v>
      </c>
      <c r="H206">
        <v>299.64115381082502</v>
      </c>
      <c r="J206">
        <v>116.6847878</v>
      </c>
      <c r="K206">
        <v>182.956365965407</v>
      </c>
      <c r="L206">
        <v>182.95636601082504</v>
      </c>
      <c r="M206">
        <v>0.9999999997517548</v>
      </c>
      <c r="N206" s="1"/>
    </row>
    <row r="207" spans="1:14" x14ac:dyDescent="0.3">
      <c r="A207" t="s">
        <v>38</v>
      </c>
      <c r="B207">
        <v>233.82</v>
      </c>
      <c r="C207">
        <v>0.64</v>
      </c>
      <c r="D207">
        <v>10.92</v>
      </c>
      <c r="E207">
        <v>1</v>
      </c>
      <c r="F207">
        <v>298</v>
      </c>
      <c r="G207">
        <v>2</v>
      </c>
      <c r="H207">
        <v>349.282273398889</v>
      </c>
      <c r="J207">
        <v>159.86385509999999</v>
      </c>
      <c r="K207">
        <v>189.418418294671</v>
      </c>
      <c r="L207">
        <v>189.41841829888901</v>
      </c>
      <c r="M207">
        <v>0.99999999997773181</v>
      </c>
      <c r="N207" s="1"/>
    </row>
    <row r="208" spans="1:14" x14ac:dyDescent="0.3">
      <c r="A208" t="s">
        <v>38</v>
      </c>
      <c r="B208">
        <v>233.82</v>
      </c>
      <c r="C208">
        <v>0.64</v>
      </c>
      <c r="D208">
        <v>10.92</v>
      </c>
      <c r="E208">
        <v>1</v>
      </c>
      <c r="F208">
        <v>298</v>
      </c>
      <c r="G208">
        <v>2</v>
      </c>
      <c r="H208">
        <v>448.56455820536502</v>
      </c>
      <c r="J208">
        <v>242.18330159999999</v>
      </c>
      <c r="K208">
        <v>206.381256550155</v>
      </c>
      <c r="L208">
        <v>206.38125660536502</v>
      </c>
      <c r="M208">
        <v>0.99999999973248532</v>
      </c>
      <c r="N208" s="1"/>
    </row>
    <row r="209" spans="1:14" x14ac:dyDescent="0.3">
      <c r="A209" t="s">
        <v>35</v>
      </c>
      <c r="B209">
        <v>241.67</v>
      </c>
      <c r="C209">
        <v>0.33</v>
      </c>
      <c r="D209">
        <v>5.54</v>
      </c>
      <c r="E209">
        <v>1</v>
      </c>
      <c r="F209">
        <v>298</v>
      </c>
      <c r="G209">
        <v>2</v>
      </c>
      <c r="H209">
        <v>250</v>
      </c>
      <c r="I209">
        <v>5.9881131104605698</v>
      </c>
      <c r="J209">
        <v>56.280704499999999</v>
      </c>
      <c r="K209">
        <v>193.71929549231501</v>
      </c>
      <c r="L209">
        <v>193.71929549999999</v>
      </c>
      <c r="M209">
        <v>0.99999999996032929</v>
      </c>
      <c r="N209" s="1"/>
    </row>
    <row r="210" spans="1:14" x14ac:dyDescent="0.3">
      <c r="A210" t="s">
        <v>35</v>
      </c>
      <c r="B210">
        <v>241.67</v>
      </c>
      <c r="C210">
        <v>0.33</v>
      </c>
      <c r="D210">
        <v>5.54</v>
      </c>
      <c r="E210">
        <v>1</v>
      </c>
      <c r="F210">
        <v>298</v>
      </c>
      <c r="G210">
        <v>2</v>
      </c>
      <c r="H210">
        <v>250</v>
      </c>
      <c r="I210">
        <v>6.99851413880757</v>
      </c>
      <c r="J210">
        <v>74.456142799999995</v>
      </c>
      <c r="K210">
        <v>175.54385722457599</v>
      </c>
      <c r="L210">
        <v>175.54385719999999</v>
      </c>
      <c r="M210">
        <v>1.0000000001399991</v>
      </c>
      <c r="N210" s="1"/>
    </row>
    <row r="211" spans="1:14" x14ac:dyDescent="0.3">
      <c r="A211" t="s">
        <v>35</v>
      </c>
      <c r="B211">
        <v>241.67</v>
      </c>
      <c r="C211">
        <v>0.33</v>
      </c>
      <c r="D211">
        <v>5.54</v>
      </c>
      <c r="E211">
        <v>1</v>
      </c>
      <c r="F211">
        <v>298</v>
      </c>
      <c r="G211">
        <v>2</v>
      </c>
      <c r="H211">
        <v>250</v>
      </c>
      <c r="I211">
        <v>7.99108437938966</v>
      </c>
      <c r="J211">
        <v>75.684213</v>
      </c>
      <c r="K211">
        <v>174.315787008044</v>
      </c>
      <c r="L211">
        <v>174.315787</v>
      </c>
      <c r="M211">
        <v>1.0000000000461462</v>
      </c>
      <c r="N211" s="1"/>
    </row>
    <row r="212" spans="1:14" x14ac:dyDescent="0.3">
      <c r="A212" t="s">
        <v>35</v>
      </c>
      <c r="B212">
        <v>241.67</v>
      </c>
      <c r="C212">
        <v>0.33</v>
      </c>
      <c r="D212">
        <v>5.54</v>
      </c>
      <c r="E212">
        <v>1</v>
      </c>
      <c r="F212">
        <v>298</v>
      </c>
      <c r="G212">
        <v>2</v>
      </c>
      <c r="H212">
        <v>250</v>
      </c>
      <c r="I212">
        <v>9.0074293059621304</v>
      </c>
      <c r="J212">
        <v>77.649123500000002</v>
      </c>
      <c r="K212">
        <v>172.35087653547799</v>
      </c>
      <c r="L212">
        <v>172.3508765</v>
      </c>
      <c r="M212">
        <v>1.0000000002058476</v>
      </c>
      <c r="N212" s="1"/>
    </row>
    <row r="213" spans="1:14" x14ac:dyDescent="0.3">
      <c r="A213" t="s">
        <v>35</v>
      </c>
      <c r="B213">
        <v>241.67</v>
      </c>
      <c r="C213">
        <v>0.33</v>
      </c>
      <c r="D213">
        <v>5.54</v>
      </c>
      <c r="E213">
        <v>1</v>
      </c>
      <c r="F213">
        <v>298</v>
      </c>
      <c r="G213">
        <v>2</v>
      </c>
      <c r="H213">
        <v>250</v>
      </c>
      <c r="I213">
        <v>9.9821692122350907</v>
      </c>
      <c r="J213">
        <v>96.315796399999996</v>
      </c>
      <c r="K213">
        <v>153.684203622523</v>
      </c>
      <c r="L213">
        <v>153.68420359999999</v>
      </c>
      <c r="M213">
        <v>1.0000000001465539</v>
      </c>
      <c r="N213" s="1"/>
    </row>
    <row r="214" spans="1:14" x14ac:dyDescent="0.3">
      <c r="A214" t="s">
        <v>36</v>
      </c>
      <c r="B214">
        <v>128.08000000000001</v>
      </c>
      <c r="C214">
        <v>0.28000000000000003</v>
      </c>
      <c r="D214">
        <v>8.7899999999999991</v>
      </c>
      <c r="E214">
        <v>1</v>
      </c>
      <c r="F214">
        <v>298</v>
      </c>
      <c r="G214">
        <v>2</v>
      </c>
      <c r="H214">
        <v>250</v>
      </c>
      <c r="I214">
        <v>6.00594389822548</v>
      </c>
      <c r="J214">
        <v>141.5087747</v>
      </c>
      <c r="K214">
        <v>108.49122527578299</v>
      </c>
      <c r="L214">
        <v>108.4912253</v>
      </c>
      <c r="M214">
        <v>0.99999999977678378</v>
      </c>
      <c r="N214" s="1"/>
    </row>
    <row r="215" spans="1:14" x14ac:dyDescent="0.3">
      <c r="A215" t="s">
        <v>36</v>
      </c>
      <c r="B215">
        <v>128.08000000000001</v>
      </c>
      <c r="C215">
        <v>0.28000000000000003</v>
      </c>
      <c r="D215">
        <v>8.7899999999999991</v>
      </c>
      <c r="E215">
        <v>1</v>
      </c>
      <c r="F215">
        <v>298</v>
      </c>
      <c r="G215">
        <v>2</v>
      </c>
      <c r="H215">
        <v>250</v>
      </c>
      <c r="I215">
        <v>7.0104010283469904</v>
      </c>
      <c r="J215">
        <v>151.3333365</v>
      </c>
      <c r="K215">
        <v>98.666663543522603</v>
      </c>
      <c r="L215">
        <v>98.666663499999999</v>
      </c>
      <c r="M215">
        <v>1.0000000004411076</v>
      </c>
      <c r="N215" s="1"/>
    </row>
    <row r="216" spans="1:14" x14ac:dyDescent="0.3">
      <c r="A216" t="s">
        <v>36</v>
      </c>
      <c r="B216">
        <v>128.08000000000001</v>
      </c>
      <c r="C216">
        <v>0.28000000000000003</v>
      </c>
      <c r="D216">
        <v>8.7899999999999991</v>
      </c>
      <c r="E216">
        <v>1</v>
      </c>
      <c r="F216">
        <v>298</v>
      </c>
      <c r="G216">
        <v>2</v>
      </c>
      <c r="H216">
        <v>250</v>
      </c>
      <c r="I216">
        <v>7.99702827761514</v>
      </c>
      <c r="J216">
        <v>145.6842341</v>
      </c>
      <c r="K216">
        <v>104.315765926821</v>
      </c>
      <c r="L216">
        <v>104.3157659</v>
      </c>
      <c r="M216">
        <v>1.0000000002571137</v>
      </c>
      <c r="N216" s="1"/>
    </row>
    <row r="217" spans="1:14" x14ac:dyDescent="0.3">
      <c r="A217" t="s">
        <v>36</v>
      </c>
      <c r="B217">
        <v>128.08000000000001</v>
      </c>
      <c r="C217">
        <v>0.28000000000000003</v>
      </c>
      <c r="D217">
        <v>8.7899999999999991</v>
      </c>
      <c r="E217">
        <v>1</v>
      </c>
      <c r="F217">
        <v>298</v>
      </c>
      <c r="G217">
        <v>2</v>
      </c>
      <c r="H217">
        <v>250</v>
      </c>
      <c r="I217">
        <v>8.9955419629669393</v>
      </c>
      <c r="J217">
        <v>152.80702629999999</v>
      </c>
      <c r="K217">
        <v>97.192973662024102</v>
      </c>
      <c r="L217">
        <v>97.19297370000001</v>
      </c>
      <c r="M217">
        <v>0.9999999996092731</v>
      </c>
      <c r="N217" s="1"/>
    </row>
    <row r="218" spans="1:14" x14ac:dyDescent="0.3">
      <c r="A218" t="s">
        <v>36</v>
      </c>
      <c r="B218">
        <v>128.08000000000001</v>
      </c>
      <c r="C218">
        <v>0.28000000000000003</v>
      </c>
      <c r="D218">
        <v>8.7899999999999991</v>
      </c>
      <c r="E218">
        <v>1</v>
      </c>
      <c r="F218">
        <v>298</v>
      </c>
      <c r="G218">
        <v>2</v>
      </c>
      <c r="H218">
        <v>250</v>
      </c>
      <c r="I218">
        <v>10</v>
      </c>
      <c r="J218">
        <v>154.77193679999999</v>
      </c>
      <c r="K218">
        <v>95.228063189458396</v>
      </c>
      <c r="L218">
        <v>95.228063200000008</v>
      </c>
      <c r="M218">
        <v>0.99999999988930144</v>
      </c>
      <c r="N218" s="1"/>
    </row>
    <row r="219" spans="1:14" x14ac:dyDescent="0.3">
      <c r="A219" t="s">
        <v>37</v>
      </c>
      <c r="B219">
        <v>192.74</v>
      </c>
      <c r="C219">
        <v>0.57999999999999996</v>
      </c>
      <c r="D219">
        <v>12.09</v>
      </c>
      <c r="E219">
        <v>1</v>
      </c>
      <c r="F219">
        <v>298</v>
      </c>
      <c r="G219">
        <v>2</v>
      </c>
      <c r="H219">
        <v>250</v>
      </c>
      <c r="I219">
        <v>5.99405655523028</v>
      </c>
      <c r="J219">
        <v>82.561404300000007</v>
      </c>
      <c r="K219">
        <v>167.43859566934799</v>
      </c>
      <c r="L219">
        <v>167.43859570000001</v>
      </c>
      <c r="M219">
        <v>0.99999999981693577</v>
      </c>
      <c r="N219" s="1"/>
    </row>
    <row r="220" spans="1:14" x14ac:dyDescent="0.3">
      <c r="A220" t="s">
        <v>37</v>
      </c>
      <c r="B220">
        <v>192.74</v>
      </c>
      <c r="C220">
        <v>0.57999999999999996</v>
      </c>
      <c r="D220">
        <v>12.09</v>
      </c>
      <c r="E220">
        <v>1</v>
      </c>
      <c r="F220">
        <v>298</v>
      </c>
      <c r="G220">
        <v>2</v>
      </c>
      <c r="H220">
        <v>250</v>
      </c>
      <c r="I220">
        <v>7.0044575835772802</v>
      </c>
      <c r="J220">
        <v>87.719304899999997</v>
      </c>
      <c r="K220">
        <v>162.28069513825099</v>
      </c>
      <c r="L220">
        <v>162.2806951</v>
      </c>
      <c r="M220">
        <v>1.0000000002357088</v>
      </c>
      <c r="N220" s="1"/>
    </row>
    <row r="221" spans="1:14" x14ac:dyDescent="0.3">
      <c r="A221" t="s">
        <v>37</v>
      </c>
      <c r="B221">
        <v>192.74</v>
      </c>
      <c r="C221">
        <v>0.57999999999999996</v>
      </c>
      <c r="D221">
        <v>12.09</v>
      </c>
      <c r="E221">
        <v>1</v>
      </c>
      <c r="F221">
        <v>298</v>
      </c>
      <c r="G221">
        <v>2</v>
      </c>
      <c r="H221">
        <v>250</v>
      </c>
      <c r="I221">
        <v>8.0029717223848493</v>
      </c>
      <c r="J221">
        <v>95.087726200000006</v>
      </c>
      <c r="K221">
        <v>154.91227383905601</v>
      </c>
      <c r="L221">
        <v>154.91227379999998</v>
      </c>
      <c r="M221">
        <v>1.000000000252117</v>
      </c>
      <c r="N221" s="1"/>
    </row>
    <row r="222" spans="1:14" x14ac:dyDescent="0.3">
      <c r="A222" t="s">
        <v>37</v>
      </c>
      <c r="B222">
        <v>192.74</v>
      </c>
      <c r="C222">
        <v>0.57999999999999996</v>
      </c>
      <c r="D222">
        <v>12.09</v>
      </c>
      <c r="E222">
        <v>1</v>
      </c>
      <c r="F222">
        <v>298</v>
      </c>
      <c r="G222">
        <v>2</v>
      </c>
      <c r="H222">
        <v>250</v>
      </c>
      <c r="I222">
        <v>8.98959851819723</v>
      </c>
      <c r="J222">
        <v>98.035087200000007</v>
      </c>
      <c r="K222">
        <v>151.964912814923</v>
      </c>
      <c r="L222">
        <v>151.96491279999998</v>
      </c>
      <c r="M222">
        <v>1.0000000000982003</v>
      </c>
      <c r="N222" s="1"/>
    </row>
    <row r="223" spans="1:14" x14ac:dyDescent="0.3">
      <c r="A223" t="s">
        <v>37</v>
      </c>
      <c r="B223">
        <v>192.74</v>
      </c>
      <c r="C223">
        <v>0.57999999999999996</v>
      </c>
      <c r="D223">
        <v>12.09</v>
      </c>
      <c r="E223">
        <v>1</v>
      </c>
      <c r="F223">
        <v>298</v>
      </c>
      <c r="G223">
        <v>2</v>
      </c>
      <c r="H223">
        <v>250</v>
      </c>
      <c r="I223">
        <v>9.9881122035490399</v>
      </c>
      <c r="J223">
        <v>92.631585700000002</v>
      </c>
      <c r="K223">
        <v>157.36841427212099</v>
      </c>
      <c r="L223">
        <v>157.36841429999998</v>
      </c>
      <c r="M223">
        <v>0.99999999982284249</v>
      </c>
      <c r="N223" s="1"/>
    </row>
    <row r="224" spans="1:14" x14ac:dyDescent="0.3">
      <c r="A224" t="s">
        <v>38</v>
      </c>
      <c r="B224">
        <v>233.82</v>
      </c>
      <c r="C224">
        <v>0.64</v>
      </c>
      <c r="D224">
        <v>10.92</v>
      </c>
      <c r="E224">
        <v>1</v>
      </c>
      <c r="F224">
        <v>298</v>
      </c>
      <c r="G224">
        <v>2</v>
      </c>
      <c r="H224">
        <v>250</v>
      </c>
      <c r="I224">
        <v>6.00594389822548</v>
      </c>
      <c r="J224">
        <v>40.807017000000002</v>
      </c>
      <c r="K224">
        <v>209.19298303145601</v>
      </c>
      <c r="L224">
        <v>209.192983</v>
      </c>
      <c r="M224">
        <v>1.0000000001503684</v>
      </c>
      <c r="N224" s="1"/>
    </row>
    <row r="225" spans="1:14" x14ac:dyDescent="0.3">
      <c r="A225" t="s">
        <v>38</v>
      </c>
      <c r="B225">
        <v>233.82</v>
      </c>
      <c r="C225">
        <v>0.64</v>
      </c>
      <c r="D225">
        <v>10.92</v>
      </c>
      <c r="E225">
        <v>1</v>
      </c>
      <c r="F225">
        <v>298</v>
      </c>
      <c r="G225">
        <v>2</v>
      </c>
      <c r="H225">
        <v>250</v>
      </c>
      <c r="I225">
        <v>7.0044575835772802</v>
      </c>
      <c r="J225">
        <v>51.3684236</v>
      </c>
      <c r="K225">
        <v>198.63157635844601</v>
      </c>
      <c r="L225">
        <v>198.6315764</v>
      </c>
      <c r="M225">
        <v>0.99999999979079868</v>
      </c>
      <c r="N225" s="1"/>
    </row>
    <row r="226" spans="1:14" x14ac:dyDescent="0.3">
      <c r="A226" t="s">
        <v>38</v>
      </c>
      <c r="B226">
        <v>233.82</v>
      </c>
      <c r="C226">
        <v>0.64</v>
      </c>
      <c r="D226">
        <v>10.92</v>
      </c>
      <c r="E226">
        <v>1</v>
      </c>
      <c r="F226">
        <v>298</v>
      </c>
      <c r="G226">
        <v>2</v>
      </c>
      <c r="H226">
        <v>250</v>
      </c>
      <c r="I226">
        <v>7.99108437938966</v>
      </c>
      <c r="J226">
        <v>50.385968400000003</v>
      </c>
      <c r="K226">
        <v>199.614031594729</v>
      </c>
      <c r="L226">
        <v>199.6140316</v>
      </c>
      <c r="M226">
        <v>0.99999999997359401</v>
      </c>
      <c r="N226" s="1"/>
    </row>
    <row r="227" spans="1:14" x14ac:dyDescent="0.3">
      <c r="A227" t="s">
        <v>38</v>
      </c>
      <c r="B227">
        <v>233.82</v>
      </c>
      <c r="C227">
        <v>0.64</v>
      </c>
      <c r="D227">
        <v>10.92</v>
      </c>
      <c r="E227">
        <v>1</v>
      </c>
      <c r="F227">
        <v>298</v>
      </c>
      <c r="G227">
        <v>2</v>
      </c>
      <c r="H227">
        <v>250</v>
      </c>
      <c r="I227">
        <v>8.98959851819723</v>
      </c>
      <c r="J227">
        <v>50.877203100000003</v>
      </c>
      <c r="K227">
        <v>199.122796949513</v>
      </c>
      <c r="L227">
        <v>199.1227969</v>
      </c>
      <c r="M227">
        <v>1.0000000002486555</v>
      </c>
      <c r="N227" s="1"/>
    </row>
    <row r="228" spans="1:14" x14ac:dyDescent="0.3">
      <c r="A228" t="s">
        <v>38</v>
      </c>
      <c r="B228">
        <v>233.82</v>
      </c>
      <c r="C228">
        <v>0.64</v>
      </c>
      <c r="D228">
        <v>10.92</v>
      </c>
      <c r="E228">
        <v>1</v>
      </c>
      <c r="F228">
        <v>298</v>
      </c>
      <c r="G228">
        <v>2</v>
      </c>
      <c r="H228">
        <v>250</v>
      </c>
      <c r="I228">
        <v>9.99405610177452</v>
      </c>
      <c r="J228">
        <v>56.5263195</v>
      </c>
      <c r="K228">
        <v>193.47368051206601</v>
      </c>
      <c r="L228">
        <v>193.4736805</v>
      </c>
      <c r="M228">
        <v>1.0000000000623652</v>
      </c>
      <c r="N228" s="1"/>
    </row>
    <row r="229" spans="1:14" x14ac:dyDescent="0.3">
      <c r="A229" t="s">
        <v>40</v>
      </c>
      <c r="B229">
        <v>420</v>
      </c>
      <c r="E229">
        <v>0.4</v>
      </c>
      <c r="F229">
        <v>298</v>
      </c>
      <c r="G229">
        <v>0.33</v>
      </c>
      <c r="H229">
        <v>49.714514530000002</v>
      </c>
      <c r="I229">
        <v>6.3</v>
      </c>
      <c r="J229">
        <v>26.392961089492399</v>
      </c>
      <c r="K229">
        <v>58.3038835856905</v>
      </c>
      <c r="L229">
        <v>58.303883601269007</v>
      </c>
      <c r="M229">
        <v>0.99999999973280496</v>
      </c>
      <c r="N229" s="1" t="s">
        <v>41</v>
      </c>
    </row>
    <row r="230" spans="1:14" x14ac:dyDescent="0.3">
      <c r="A230" t="s">
        <v>40</v>
      </c>
      <c r="B230">
        <v>420</v>
      </c>
      <c r="E230">
        <v>0.4</v>
      </c>
      <c r="F230">
        <v>298</v>
      </c>
      <c r="G230">
        <v>0.33</v>
      </c>
      <c r="H230">
        <v>99.39733683</v>
      </c>
      <c r="I230">
        <v>6.3</v>
      </c>
      <c r="J230">
        <v>51.906170233489298</v>
      </c>
      <c r="K230">
        <v>118.727916480375</v>
      </c>
      <c r="L230">
        <v>118.72791649127674</v>
      </c>
      <c r="M230">
        <v>0.99999999990817878</v>
      </c>
      <c r="N230" s="1"/>
    </row>
    <row r="231" spans="1:14" x14ac:dyDescent="0.3">
      <c r="A231" t="s">
        <v>40</v>
      </c>
      <c r="B231">
        <v>420</v>
      </c>
      <c r="E231">
        <v>0.4</v>
      </c>
      <c r="F231">
        <v>298</v>
      </c>
      <c r="G231">
        <v>0.33</v>
      </c>
      <c r="H231">
        <v>200.15005880000001</v>
      </c>
      <c r="I231">
        <v>6.3</v>
      </c>
      <c r="J231">
        <v>117.88857295722001</v>
      </c>
      <c r="K231">
        <v>205.65371464128401</v>
      </c>
      <c r="L231">
        <v>205.65371460694999</v>
      </c>
      <c r="M231">
        <v>1.0000000001669507</v>
      </c>
      <c r="N231" s="1"/>
    </row>
    <row r="232" spans="1:14" x14ac:dyDescent="0.3">
      <c r="A232" t="s">
        <v>40</v>
      </c>
      <c r="B232">
        <v>420</v>
      </c>
      <c r="E232">
        <v>0.4</v>
      </c>
      <c r="F232">
        <v>298</v>
      </c>
      <c r="G232">
        <v>0.33</v>
      </c>
      <c r="H232">
        <v>398.78246180000002</v>
      </c>
      <c r="I232">
        <v>6.3</v>
      </c>
      <c r="J232">
        <v>252.49270136193999</v>
      </c>
      <c r="K232">
        <v>365.72440111236102</v>
      </c>
      <c r="L232">
        <v>365.72440109515003</v>
      </c>
      <c r="M232">
        <v>1.0000000000470599</v>
      </c>
      <c r="N232" s="1"/>
    </row>
    <row r="233" spans="1:14" x14ac:dyDescent="0.3">
      <c r="A233" t="s">
        <v>40</v>
      </c>
      <c r="B233">
        <v>420</v>
      </c>
      <c r="E233">
        <v>0.4</v>
      </c>
      <c r="F233">
        <v>298</v>
      </c>
      <c r="G233">
        <v>0.33</v>
      </c>
      <c r="H233">
        <v>598.87709150000001</v>
      </c>
      <c r="I233">
        <v>6.3</v>
      </c>
      <c r="J233">
        <v>392.37534143963302</v>
      </c>
      <c r="K233">
        <v>516.25437525447796</v>
      </c>
      <c r="L233">
        <v>516.25437515091744</v>
      </c>
      <c r="M233">
        <v>1.0000000002005998</v>
      </c>
      <c r="N233" s="1"/>
    </row>
    <row r="234" spans="1:14" x14ac:dyDescent="0.3">
      <c r="A234" t="s">
        <v>40</v>
      </c>
      <c r="B234">
        <v>420</v>
      </c>
      <c r="E234">
        <v>0.4</v>
      </c>
      <c r="F234">
        <v>298</v>
      </c>
      <c r="G234">
        <v>0.33</v>
      </c>
      <c r="H234">
        <v>801.42521950000003</v>
      </c>
      <c r="I234">
        <v>6.3</v>
      </c>
      <c r="J234">
        <v>588.56304571983503</v>
      </c>
      <c r="K234">
        <v>532.15543441421198</v>
      </c>
      <c r="L234">
        <v>532.15543445041249</v>
      </c>
      <c r="M234">
        <v>0.99999999993197386</v>
      </c>
      <c r="N234" s="1"/>
    </row>
    <row r="235" spans="1:14" x14ac:dyDescent="0.3">
      <c r="A235" t="s">
        <v>40</v>
      </c>
      <c r="B235">
        <v>420</v>
      </c>
      <c r="E235">
        <v>0.4</v>
      </c>
      <c r="F235">
        <v>298</v>
      </c>
      <c r="G235">
        <v>0.33</v>
      </c>
      <c r="H235">
        <v>1001.524277</v>
      </c>
      <c r="I235">
        <v>6.3</v>
      </c>
      <c r="J235">
        <v>787.39000583652398</v>
      </c>
      <c r="K235">
        <v>535.33567859694597</v>
      </c>
      <c r="L235">
        <v>535.33567790868995</v>
      </c>
      <c r="M235">
        <v>1.0000000012856531</v>
      </c>
      <c r="N235" s="1"/>
    </row>
    <row r="236" spans="1:14" x14ac:dyDescent="0.3">
      <c r="A236" t="s">
        <v>42</v>
      </c>
      <c r="B236">
        <v>4.6900000000000004</v>
      </c>
      <c r="C236">
        <v>7.6E-3</v>
      </c>
      <c r="D236">
        <v>6.46</v>
      </c>
      <c r="E236">
        <v>1</v>
      </c>
      <c r="F236">
        <v>298</v>
      </c>
      <c r="G236">
        <v>6</v>
      </c>
      <c r="H236">
        <v>149.54955935384501</v>
      </c>
      <c r="J236">
        <v>102.3177305</v>
      </c>
      <c r="K236">
        <v>47.231828951603802</v>
      </c>
      <c r="L236">
        <v>47.231828853845016</v>
      </c>
      <c r="M236">
        <v>1.000000002069765</v>
      </c>
      <c r="N236" s="1" t="s">
        <v>44</v>
      </c>
    </row>
    <row r="237" spans="1:14" x14ac:dyDescent="0.3">
      <c r="A237" t="s">
        <v>42</v>
      </c>
      <c r="B237">
        <v>4.6900000000000004</v>
      </c>
      <c r="C237">
        <v>7.6E-3</v>
      </c>
      <c r="D237">
        <v>6.46</v>
      </c>
      <c r="E237">
        <v>1</v>
      </c>
      <c r="F237">
        <v>298</v>
      </c>
      <c r="G237">
        <v>6</v>
      </c>
      <c r="H237">
        <v>199.39937428664101</v>
      </c>
      <c r="J237">
        <v>137.1156532</v>
      </c>
      <c r="K237">
        <v>62.283721129838803</v>
      </c>
      <c r="L237">
        <v>62.283721086641009</v>
      </c>
      <c r="M237">
        <v>1.0000000006935648</v>
      </c>
      <c r="N237" s="1"/>
    </row>
    <row r="238" spans="1:14" x14ac:dyDescent="0.3">
      <c r="A238" t="s">
        <v>42</v>
      </c>
      <c r="B238">
        <v>4.6900000000000004</v>
      </c>
      <c r="C238">
        <v>7.6E-3</v>
      </c>
      <c r="D238">
        <v>6.46</v>
      </c>
      <c r="E238">
        <v>1</v>
      </c>
      <c r="F238">
        <v>298</v>
      </c>
      <c r="G238">
        <v>6</v>
      </c>
      <c r="H238">
        <v>249.849826388342</v>
      </c>
      <c r="J238">
        <v>178.7425714</v>
      </c>
      <c r="K238">
        <v>71.107255054717498</v>
      </c>
      <c r="L238">
        <v>71.107254988341992</v>
      </c>
      <c r="M238">
        <v>1.0000000009334562</v>
      </c>
      <c r="N238" s="1"/>
    </row>
    <row r="239" spans="1:14" x14ac:dyDescent="0.3">
      <c r="A239" t="s">
        <v>42</v>
      </c>
      <c r="B239">
        <v>4.6900000000000004</v>
      </c>
      <c r="C239">
        <v>7.6E-3</v>
      </c>
      <c r="D239">
        <v>6.46</v>
      </c>
      <c r="E239">
        <v>1</v>
      </c>
      <c r="F239">
        <v>298</v>
      </c>
      <c r="G239">
        <v>6</v>
      </c>
      <c r="H239">
        <v>299.099049974416</v>
      </c>
      <c r="J239">
        <v>188.5454336</v>
      </c>
      <c r="K239">
        <v>110.553616390157</v>
      </c>
      <c r="L239">
        <v>110.55361637441601</v>
      </c>
      <c r="M239">
        <v>1.0000000001423834</v>
      </c>
      <c r="N239" s="1"/>
    </row>
    <row r="240" spans="1:14" x14ac:dyDescent="0.3">
      <c r="A240" t="s">
        <v>42</v>
      </c>
      <c r="B240">
        <v>4.6900000000000004</v>
      </c>
      <c r="C240">
        <v>7.6E-3</v>
      </c>
      <c r="D240">
        <v>6.46</v>
      </c>
      <c r="E240">
        <v>1</v>
      </c>
      <c r="F240">
        <v>298</v>
      </c>
      <c r="G240">
        <v>6</v>
      </c>
      <c r="H240">
        <v>350.15009342283798</v>
      </c>
      <c r="J240">
        <v>218.83521020000001</v>
      </c>
      <c r="K240">
        <v>131.31488316606101</v>
      </c>
      <c r="L240">
        <v>131.31488322283798</v>
      </c>
      <c r="M240">
        <v>0.99999999956762731</v>
      </c>
      <c r="N240" s="1"/>
    </row>
    <row r="241" spans="1:14" x14ac:dyDescent="0.3">
      <c r="A241" t="s">
        <v>42</v>
      </c>
      <c r="B241">
        <v>4.6900000000000004</v>
      </c>
      <c r="C241">
        <v>7.6E-3</v>
      </c>
      <c r="D241">
        <v>6.46</v>
      </c>
      <c r="E241">
        <v>1</v>
      </c>
      <c r="F241">
        <v>298</v>
      </c>
      <c r="G241">
        <v>6</v>
      </c>
      <c r="H241">
        <v>400</v>
      </c>
      <c r="J241">
        <v>223.52942049999999</v>
      </c>
      <c r="K241">
        <v>176.47057950023401</v>
      </c>
      <c r="L241">
        <v>176.47057950000001</v>
      </c>
      <c r="M241">
        <v>1.0000000000013261</v>
      </c>
      <c r="N241" s="1"/>
    </row>
    <row r="242" spans="1:14" x14ac:dyDescent="0.3">
      <c r="A242" t="s">
        <v>42</v>
      </c>
      <c r="B242">
        <v>4.6900000000000004</v>
      </c>
      <c r="C242">
        <v>7.6E-3</v>
      </c>
      <c r="D242">
        <v>6.46</v>
      </c>
      <c r="E242">
        <v>1</v>
      </c>
      <c r="F242">
        <v>298</v>
      </c>
      <c r="G242">
        <v>6</v>
      </c>
      <c r="H242">
        <v>449.249223586075</v>
      </c>
      <c r="J242">
        <v>211.5329596</v>
      </c>
      <c r="K242">
        <v>237.71626402056</v>
      </c>
      <c r="L242">
        <v>237.71626398607501</v>
      </c>
      <c r="M242">
        <v>1.000000000145068</v>
      </c>
      <c r="N242" s="1"/>
    </row>
    <row r="243" spans="1:14" x14ac:dyDescent="0.3">
      <c r="A243" t="s">
        <v>43</v>
      </c>
      <c r="B243">
        <v>6.51</v>
      </c>
      <c r="C243">
        <v>1.2999999999999999E-2</v>
      </c>
      <c r="D243">
        <v>7.75</v>
      </c>
      <c r="E243">
        <v>1</v>
      </c>
      <c r="F243">
        <v>298</v>
      </c>
      <c r="G243">
        <v>2</v>
      </c>
      <c r="H243">
        <v>148.94892218494101</v>
      </c>
      <c r="J243">
        <v>88.741313890000001</v>
      </c>
      <c r="K243">
        <v>60.207608311876001</v>
      </c>
      <c r="L243">
        <v>60.207608294941011</v>
      </c>
      <c r="M243">
        <v>1.0000000002812766</v>
      </c>
      <c r="N243" s="1"/>
    </row>
    <row r="244" spans="1:14" x14ac:dyDescent="0.3">
      <c r="A244" t="s">
        <v>43</v>
      </c>
      <c r="B244">
        <v>6.51</v>
      </c>
      <c r="C244">
        <v>1.2999999999999999E-2</v>
      </c>
      <c r="D244">
        <v>7.75</v>
      </c>
      <c r="E244">
        <v>1</v>
      </c>
      <c r="F244">
        <v>298</v>
      </c>
      <c r="G244">
        <v>2</v>
      </c>
      <c r="H244">
        <v>198.79878293991999</v>
      </c>
      <c r="J244">
        <v>100.70194239999999</v>
      </c>
      <c r="K244">
        <v>98.096840485041398</v>
      </c>
      <c r="L244">
        <v>98.096840539919995</v>
      </c>
      <c r="M244">
        <v>0.99999999944056717</v>
      </c>
      <c r="N244" s="1"/>
    </row>
    <row r="245" spans="1:14" x14ac:dyDescent="0.3">
      <c r="A245" t="s">
        <v>43</v>
      </c>
      <c r="B245">
        <v>6.51</v>
      </c>
      <c r="C245">
        <v>1.2999999999999999E-2</v>
      </c>
      <c r="D245">
        <v>7.75</v>
      </c>
      <c r="E245">
        <v>1</v>
      </c>
      <c r="F245">
        <v>298</v>
      </c>
      <c r="G245">
        <v>2</v>
      </c>
      <c r="H245">
        <v>250.45041773506301</v>
      </c>
      <c r="J245">
        <v>108.75491100000001</v>
      </c>
      <c r="K245">
        <v>141.695506654279</v>
      </c>
      <c r="L245">
        <v>141.69550673506302</v>
      </c>
      <c r="M245">
        <v>0.99999999942987594</v>
      </c>
      <c r="N245" s="1"/>
    </row>
    <row r="246" spans="1:14" x14ac:dyDescent="0.3">
      <c r="A246" t="s">
        <v>43</v>
      </c>
      <c r="B246">
        <v>6.51</v>
      </c>
      <c r="C246">
        <v>1.2999999999999999E-2</v>
      </c>
      <c r="D246">
        <v>7.75</v>
      </c>
      <c r="E246">
        <v>1</v>
      </c>
      <c r="F246">
        <v>298</v>
      </c>
      <c r="G246">
        <v>2</v>
      </c>
      <c r="H246">
        <v>299.099049974416</v>
      </c>
      <c r="J246">
        <v>138.71842899999999</v>
      </c>
      <c r="K246">
        <v>160.38062101328401</v>
      </c>
      <c r="L246">
        <v>160.38062097441602</v>
      </c>
      <c r="M246">
        <v>1.0000000002423484</v>
      </c>
      <c r="N246" s="1"/>
    </row>
    <row r="247" spans="1:14" x14ac:dyDescent="0.3">
      <c r="A247" t="s">
        <v>43</v>
      </c>
      <c r="B247">
        <v>6.51</v>
      </c>
      <c r="C247">
        <v>1.2999999999999999E-2</v>
      </c>
      <c r="D247">
        <v>7.75</v>
      </c>
      <c r="E247">
        <v>1</v>
      </c>
      <c r="F247">
        <v>298</v>
      </c>
      <c r="G247">
        <v>2</v>
      </c>
      <c r="H247">
        <v>349.54950207611699</v>
      </c>
      <c r="J247">
        <v>188.1308148</v>
      </c>
      <c r="K247">
        <v>161.41868732199899</v>
      </c>
      <c r="L247">
        <v>161.418687276117</v>
      </c>
      <c r="M247">
        <v>1.0000000002842422</v>
      </c>
      <c r="N247" s="1"/>
    </row>
    <row r="248" spans="1:14" x14ac:dyDescent="0.3">
      <c r="A248" t="s">
        <v>43</v>
      </c>
      <c r="B248">
        <v>6.51</v>
      </c>
      <c r="C248">
        <v>1.2999999999999999E-2</v>
      </c>
      <c r="D248">
        <v>7.75</v>
      </c>
      <c r="E248">
        <v>1</v>
      </c>
      <c r="F248">
        <v>298</v>
      </c>
      <c r="G248">
        <v>2</v>
      </c>
      <c r="H248">
        <v>399.39936283109603</v>
      </c>
      <c r="J248">
        <v>160.12599929999999</v>
      </c>
      <c r="K248">
        <v>239.27336348363301</v>
      </c>
      <c r="L248">
        <v>239.27336353109604</v>
      </c>
      <c r="M248">
        <v>0.99999999980163679</v>
      </c>
      <c r="N248" s="1"/>
    </row>
    <row r="249" spans="1:14" x14ac:dyDescent="0.3">
      <c r="A249" t="s">
        <v>43</v>
      </c>
      <c r="B249">
        <v>6.51</v>
      </c>
      <c r="C249">
        <v>1.2999999999999999E-2</v>
      </c>
      <c r="D249">
        <v>7.75</v>
      </c>
      <c r="E249">
        <v>1</v>
      </c>
      <c r="F249">
        <v>298</v>
      </c>
      <c r="G249">
        <v>2</v>
      </c>
      <c r="H249">
        <v>450.45040627951698</v>
      </c>
      <c r="J249">
        <v>173.28777099999999</v>
      </c>
      <c r="K249">
        <v>277.16263525573402</v>
      </c>
      <c r="L249">
        <v>277.16263527951696</v>
      </c>
      <c r="M249">
        <v>0.99999999991419142</v>
      </c>
      <c r="N249" s="1"/>
    </row>
    <row r="250" spans="1:14" x14ac:dyDescent="0.3">
      <c r="A250" t="s">
        <v>42</v>
      </c>
      <c r="B250">
        <v>4.6900000000000004</v>
      </c>
      <c r="C250">
        <v>7.6E-3</v>
      </c>
      <c r="D250">
        <v>6.46</v>
      </c>
      <c r="E250">
        <v>1</v>
      </c>
      <c r="F250">
        <v>298</v>
      </c>
      <c r="G250">
        <v>6</v>
      </c>
      <c r="H250">
        <v>300</v>
      </c>
      <c r="I250">
        <v>5.9771100705495197</v>
      </c>
      <c r="J250">
        <v>95.305786800000007</v>
      </c>
      <c r="K250">
        <v>204.694213162663</v>
      </c>
      <c r="L250">
        <v>204.69421319999998</v>
      </c>
      <c r="M250">
        <v>0.99999999981759635</v>
      </c>
      <c r="N250" s="1"/>
    </row>
    <row r="251" spans="1:14" x14ac:dyDescent="0.3">
      <c r="A251" t="s">
        <v>42</v>
      </c>
      <c r="B251">
        <v>4.6900000000000004</v>
      </c>
      <c r="C251">
        <v>7.6E-3</v>
      </c>
      <c r="D251">
        <v>6.46</v>
      </c>
      <c r="E251">
        <v>1</v>
      </c>
      <c r="F251">
        <v>298</v>
      </c>
      <c r="G251">
        <v>6</v>
      </c>
      <c r="H251">
        <v>300</v>
      </c>
      <c r="I251">
        <v>6.9785406638533596</v>
      </c>
      <c r="J251">
        <v>111.1735552</v>
      </c>
      <c r="K251">
        <v>188.82644481774801</v>
      </c>
      <c r="L251">
        <v>188.82644479999999</v>
      </c>
      <c r="M251">
        <v>1.0000000000939913</v>
      </c>
      <c r="N251" s="1"/>
    </row>
    <row r="252" spans="1:14" x14ac:dyDescent="0.3">
      <c r="A252" t="s">
        <v>42</v>
      </c>
      <c r="B252">
        <v>4.6900000000000004</v>
      </c>
      <c r="C252">
        <v>7.6E-3</v>
      </c>
      <c r="D252">
        <v>6.46</v>
      </c>
      <c r="E252">
        <v>1</v>
      </c>
      <c r="F252">
        <v>298</v>
      </c>
      <c r="G252">
        <v>6</v>
      </c>
      <c r="H252">
        <v>300</v>
      </c>
      <c r="I252">
        <v>7.9971388133923202</v>
      </c>
      <c r="J252">
        <v>117.9173522</v>
      </c>
      <c r="K252">
        <v>182.082647810965</v>
      </c>
      <c r="L252">
        <v>182.08264780000002</v>
      </c>
      <c r="M252">
        <v>1.0000000000602198</v>
      </c>
      <c r="N252" s="1"/>
    </row>
    <row r="253" spans="1:14" x14ac:dyDescent="0.3">
      <c r="A253" t="s">
        <v>42</v>
      </c>
      <c r="B253">
        <v>4.6900000000000004</v>
      </c>
      <c r="C253">
        <v>7.6E-3</v>
      </c>
      <c r="D253">
        <v>6.46</v>
      </c>
      <c r="E253">
        <v>1</v>
      </c>
      <c r="F253">
        <v>298</v>
      </c>
      <c r="G253">
        <v>6</v>
      </c>
      <c r="H253">
        <v>300</v>
      </c>
      <c r="I253">
        <v>8.9985694066961592</v>
      </c>
      <c r="J253">
        <v>125.0578525</v>
      </c>
      <c r="K253">
        <v>174.94214751594799</v>
      </c>
      <c r="L253">
        <v>174.9421475</v>
      </c>
      <c r="M253">
        <v>1.0000000000911615</v>
      </c>
      <c r="N253" s="1"/>
    </row>
    <row r="254" spans="1:14" x14ac:dyDescent="0.3">
      <c r="A254" t="s">
        <v>42</v>
      </c>
      <c r="B254">
        <v>4.6900000000000004</v>
      </c>
      <c r="C254">
        <v>7.6E-3</v>
      </c>
      <c r="D254">
        <v>6.46</v>
      </c>
      <c r="E254">
        <v>1</v>
      </c>
      <c r="F254">
        <v>298</v>
      </c>
      <c r="G254">
        <v>6</v>
      </c>
      <c r="H254">
        <v>300</v>
      </c>
      <c r="I254">
        <v>10</v>
      </c>
      <c r="J254">
        <v>154.01653429999999</v>
      </c>
      <c r="K254">
        <v>145.98346574667499</v>
      </c>
      <c r="L254">
        <v>145.98346570000001</v>
      </c>
      <c r="M254">
        <v>1.0000000003197278</v>
      </c>
      <c r="N254" s="1"/>
    </row>
    <row r="255" spans="1:14" x14ac:dyDescent="0.3">
      <c r="A255" t="s">
        <v>43</v>
      </c>
      <c r="B255">
        <v>6.51</v>
      </c>
      <c r="C255">
        <v>1.2999999999999999E-2</v>
      </c>
      <c r="D255">
        <v>7.75</v>
      </c>
      <c r="E255">
        <v>1</v>
      </c>
      <c r="F255">
        <v>298</v>
      </c>
      <c r="G255">
        <v>1</v>
      </c>
      <c r="H255">
        <v>300</v>
      </c>
      <c r="I255">
        <v>5.9828324437648597</v>
      </c>
      <c r="J255">
        <v>57.619840799999999</v>
      </c>
      <c r="K255">
        <v>242.38015919866299</v>
      </c>
      <c r="L255">
        <v>242.38015920000001</v>
      </c>
      <c r="M255">
        <v>0.99999999999448386</v>
      </c>
      <c r="N255" s="1"/>
    </row>
    <row r="256" spans="1:14" x14ac:dyDescent="0.3">
      <c r="A256" t="s">
        <v>43</v>
      </c>
      <c r="B256">
        <v>6.51</v>
      </c>
      <c r="C256">
        <v>1.2999999999999999E-2</v>
      </c>
      <c r="D256">
        <v>7.75</v>
      </c>
      <c r="E256">
        <v>1</v>
      </c>
      <c r="F256">
        <v>298</v>
      </c>
      <c r="G256">
        <v>1</v>
      </c>
      <c r="H256">
        <v>300</v>
      </c>
      <c r="I256">
        <v>6.9842630370687004</v>
      </c>
      <c r="J256">
        <v>63.570253899999997</v>
      </c>
      <c r="K256">
        <v>236.429746069321</v>
      </c>
      <c r="L256">
        <v>236.42974609999999</v>
      </c>
      <c r="M256">
        <v>0.99999999987024057</v>
      </c>
      <c r="N256" s="1"/>
    </row>
    <row r="257" spans="1:14" x14ac:dyDescent="0.3">
      <c r="A257" t="s">
        <v>43</v>
      </c>
      <c r="B257">
        <v>6.51</v>
      </c>
      <c r="C257">
        <v>1.2999999999999999E-2</v>
      </c>
      <c r="D257">
        <v>7.75</v>
      </c>
      <c r="E257">
        <v>1</v>
      </c>
      <c r="F257">
        <v>298</v>
      </c>
      <c r="G257">
        <v>1</v>
      </c>
      <c r="H257">
        <v>300</v>
      </c>
      <c r="I257">
        <v>8.0085835598230197</v>
      </c>
      <c r="J257">
        <v>102.04958379999999</v>
      </c>
      <c r="K257">
        <v>197.950416155879</v>
      </c>
      <c r="L257">
        <v>197.95041620000001</v>
      </c>
      <c r="M257">
        <v>0.99999999977711085</v>
      </c>
      <c r="N257" s="1"/>
    </row>
    <row r="258" spans="1:14" x14ac:dyDescent="0.3">
      <c r="A258" t="s">
        <v>43</v>
      </c>
      <c r="B258">
        <v>6.51</v>
      </c>
      <c r="C258">
        <v>1.2999999999999999E-2</v>
      </c>
      <c r="D258">
        <v>7.75</v>
      </c>
      <c r="E258">
        <v>1</v>
      </c>
      <c r="F258">
        <v>298</v>
      </c>
      <c r="G258">
        <v>1</v>
      </c>
      <c r="H258">
        <v>300</v>
      </c>
      <c r="I258">
        <v>9.0042917799115099</v>
      </c>
      <c r="J258">
        <v>104.8264463</v>
      </c>
      <c r="K258">
        <v>195.17355366898201</v>
      </c>
      <c r="L258">
        <v>195.17355370000001</v>
      </c>
      <c r="M258">
        <v>0.99999999984107479</v>
      </c>
      <c r="N258" s="1"/>
    </row>
    <row r="259" spans="1:14" x14ac:dyDescent="0.3">
      <c r="A259" t="s">
        <v>43</v>
      </c>
      <c r="B259">
        <v>6.51</v>
      </c>
      <c r="C259">
        <v>1.2999999999999999E-2</v>
      </c>
      <c r="D259">
        <v>7.75</v>
      </c>
      <c r="E259">
        <v>1</v>
      </c>
      <c r="F259">
        <v>298</v>
      </c>
      <c r="G259">
        <v>1</v>
      </c>
      <c r="H259">
        <v>300</v>
      </c>
      <c r="I259">
        <v>9.9942771901955592</v>
      </c>
      <c r="J259">
        <v>175.8347157</v>
      </c>
      <c r="K259">
        <v>124.16528427241801</v>
      </c>
      <c r="L259">
        <v>124.1652843</v>
      </c>
      <c r="M259">
        <v>0.99999999977786069</v>
      </c>
      <c r="N259" s="1"/>
    </row>
    <row r="260" spans="1:14" x14ac:dyDescent="0.3">
      <c r="A260" t="s">
        <v>45</v>
      </c>
      <c r="B260">
        <v>23.52</v>
      </c>
      <c r="E260">
        <v>0.5</v>
      </c>
      <c r="F260">
        <v>298</v>
      </c>
      <c r="G260">
        <v>2</v>
      </c>
      <c r="H260">
        <v>4.9482533622138298</v>
      </c>
      <c r="J260">
        <v>4.8767112309999998</v>
      </c>
      <c r="K260">
        <v>0.143084261599082</v>
      </c>
      <c r="L260">
        <v>0.14308426242766004</v>
      </c>
      <c r="M260">
        <v>0.99999999420916019</v>
      </c>
      <c r="N260" s="1" t="s">
        <v>47</v>
      </c>
    </row>
    <row r="261" spans="1:14" x14ac:dyDescent="0.3">
      <c r="A261" t="s">
        <v>45</v>
      </c>
      <c r="B261">
        <v>23.52</v>
      </c>
      <c r="E261">
        <v>0.5</v>
      </c>
      <c r="F261">
        <v>298</v>
      </c>
      <c r="G261">
        <v>2</v>
      </c>
      <c r="H261">
        <v>9.9547205815789503</v>
      </c>
      <c r="J261">
        <v>9.5111595895000001</v>
      </c>
      <c r="K261">
        <v>0.88712198525579999</v>
      </c>
      <c r="L261">
        <v>0.88712198415790056</v>
      </c>
      <c r="M261">
        <v>1.0000000012375969</v>
      </c>
      <c r="N261" s="1"/>
    </row>
    <row r="262" spans="1:14" x14ac:dyDescent="0.3">
      <c r="A262" t="s">
        <v>45</v>
      </c>
      <c r="B262">
        <v>23.52</v>
      </c>
      <c r="E262">
        <v>0.5</v>
      </c>
      <c r="F262">
        <v>298</v>
      </c>
      <c r="G262">
        <v>2</v>
      </c>
      <c r="H262">
        <v>19.9676594617417</v>
      </c>
      <c r="J262">
        <v>18.56543435</v>
      </c>
      <c r="K262">
        <v>2.80445021736648</v>
      </c>
      <c r="L262">
        <v>2.8044502234833999</v>
      </c>
      <c r="M262">
        <v>0.9999999978188524</v>
      </c>
      <c r="N262" s="1"/>
    </row>
    <row r="263" spans="1:14" x14ac:dyDescent="0.3">
      <c r="A263" t="s">
        <v>45</v>
      </c>
      <c r="B263">
        <v>23.52</v>
      </c>
      <c r="E263">
        <v>0.5</v>
      </c>
      <c r="F263">
        <v>298</v>
      </c>
      <c r="G263">
        <v>2</v>
      </c>
      <c r="H263">
        <v>29.9223800433207</v>
      </c>
      <c r="J263">
        <v>27.790424869999999</v>
      </c>
      <c r="K263">
        <v>4.2639103406648999</v>
      </c>
      <c r="L263">
        <v>4.2639103466414028</v>
      </c>
      <c r="M263">
        <v>0.99999999859835165</v>
      </c>
      <c r="N263" s="1"/>
    </row>
    <row r="264" spans="1:14" x14ac:dyDescent="0.3">
      <c r="A264" t="s">
        <v>45</v>
      </c>
      <c r="B264">
        <v>23.52</v>
      </c>
      <c r="E264">
        <v>0.5</v>
      </c>
      <c r="F264">
        <v>298</v>
      </c>
      <c r="G264">
        <v>2</v>
      </c>
      <c r="H264">
        <v>39.993532780634801</v>
      </c>
      <c r="J264">
        <v>37.861577609999998</v>
      </c>
      <c r="K264">
        <v>4.2639103406648999</v>
      </c>
      <c r="L264">
        <v>4.2639103412696073</v>
      </c>
      <c r="M264">
        <v>0.99999999985818011</v>
      </c>
      <c r="N264" s="1"/>
    </row>
    <row r="265" spans="1:14" x14ac:dyDescent="0.3">
      <c r="A265" t="s">
        <v>46</v>
      </c>
      <c r="B265">
        <v>21.12</v>
      </c>
      <c r="E265">
        <v>0.5</v>
      </c>
      <c r="F265">
        <v>298</v>
      </c>
      <c r="G265">
        <v>2</v>
      </c>
      <c r="H265">
        <v>5.1228993751002996</v>
      </c>
      <c r="J265">
        <v>5.0513572440000001</v>
      </c>
      <c r="K265">
        <v>0.143084261599082</v>
      </c>
      <c r="L265">
        <v>0.143084262200599</v>
      </c>
      <c r="M265">
        <v>0.99999999579606458</v>
      </c>
      <c r="N265" s="1"/>
    </row>
    <row r="266" spans="1:14" x14ac:dyDescent="0.3">
      <c r="A266" t="s">
        <v>46</v>
      </c>
      <c r="B266">
        <v>21.12</v>
      </c>
      <c r="E266">
        <v>0.5</v>
      </c>
      <c r="F266">
        <v>298</v>
      </c>
      <c r="G266">
        <v>2</v>
      </c>
      <c r="H266">
        <v>9.8382928672763708</v>
      </c>
      <c r="J266">
        <v>9.6809003975000003</v>
      </c>
      <c r="K266">
        <v>0.31478493885946901</v>
      </c>
      <c r="L266">
        <v>0.31478493955274089</v>
      </c>
      <c r="M266">
        <v>0.99999999779763327</v>
      </c>
      <c r="N266" s="1"/>
    </row>
    <row r="267" spans="1:14" x14ac:dyDescent="0.3">
      <c r="A267" t="s">
        <v>46</v>
      </c>
      <c r="B267">
        <v>21.12</v>
      </c>
      <c r="E267">
        <v>0.5</v>
      </c>
      <c r="F267">
        <v>298</v>
      </c>
      <c r="G267">
        <v>2</v>
      </c>
      <c r="H267">
        <v>19.9676594617417</v>
      </c>
      <c r="J267">
        <v>18.86591108</v>
      </c>
      <c r="K267">
        <v>2.20349675530885</v>
      </c>
      <c r="L267">
        <v>2.2034967634834004</v>
      </c>
      <c r="M267">
        <v>0.99999999629019176</v>
      </c>
      <c r="N267" s="1"/>
    </row>
    <row r="268" spans="1:14" x14ac:dyDescent="0.3">
      <c r="A268" t="s">
        <v>46</v>
      </c>
      <c r="B268">
        <v>21.12</v>
      </c>
      <c r="E268">
        <v>0.5</v>
      </c>
      <c r="F268">
        <v>298</v>
      </c>
      <c r="G268">
        <v>2</v>
      </c>
      <c r="H268">
        <v>30.038807757623299</v>
      </c>
      <c r="J268">
        <v>27.878235629999999</v>
      </c>
      <c r="K268">
        <v>4.3211442636337898</v>
      </c>
      <c r="L268">
        <v>4.3211442552466011</v>
      </c>
      <c r="M268">
        <v>1.0000000019409647</v>
      </c>
      <c r="N268" s="1"/>
    </row>
    <row r="269" spans="1:14" x14ac:dyDescent="0.3">
      <c r="A269" t="s">
        <v>46</v>
      </c>
      <c r="B269">
        <v>21.12</v>
      </c>
      <c r="E269">
        <v>0.5</v>
      </c>
      <c r="F269">
        <v>298</v>
      </c>
      <c r="G269">
        <v>2</v>
      </c>
      <c r="H269">
        <v>39.993532780634801</v>
      </c>
      <c r="J269">
        <v>31.880655310000002</v>
      </c>
      <c r="K269">
        <v>16.225754937842101</v>
      </c>
      <c r="L269">
        <v>16.225754941269599</v>
      </c>
      <c r="M269">
        <v>0.99999999978876186</v>
      </c>
      <c r="N269" s="1"/>
    </row>
    <row r="270" spans="1:14" x14ac:dyDescent="0.3">
      <c r="A270" t="s">
        <v>45</v>
      </c>
      <c r="B270">
        <v>23.52</v>
      </c>
      <c r="E270">
        <v>0.2</v>
      </c>
      <c r="F270">
        <v>298</v>
      </c>
      <c r="G270">
        <v>2</v>
      </c>
      <c r="H270">
        <v>40</v>
      </c>
      <c r="J270">
        <v>39.91176471</v>
      </c>
      <c r="K270">
        <v>0.44117645133875399</v>
      </c>
      <c r="L270">
        <v>0.44117645000000039</v>
      </c>
      <c r="M270">
        <v>1.0000000030345084</v>
      </c>
      <c r="N270" s="1"/>
    </row>
    <row r="271" spans="1:14" x14ac:dyDescent="0.3">
      <c r="A271" t="s">
        <v>45</v>
      </c>
      <c r="B271">
        <v>23.52</v>
      </c>
      <c r="E271">
        <v>0.4</v>
      </c>
      <c r="F271">
        <v>298</v>
      </c>
      <c r="G271">
        <v>2</v>
      </c>
      <c r="H271">
        <v>40</v>
      </c>
      <c r="J271">
        <v>39.717646889999997</v>
      </c>
      <c r="K271">
        <v>0.70588277092990104</v>
      </c>
      <c r="L271">
        <v>0.70588277500000629</v>
      </c>
      <c r="M271">
        <v>0.99999999423402097</v>
      </c>
      <c r="N271" s="1"/>
    </row>
    <row r="272" spans="1:14" x14ac:dyDescent="0.3">
      <c r="A272" t="s">
        <v>45</v>
      </c>
      <c r="B272">
        <v>23.52</v>
      </c>
      <c r="E272">
        <v>0.6</v>
      </c>
      <c r="F272">
        <v>298</v>
      </c>
      <c r="G272">
        <v>2</v>
      </c>
      <c r="H272">
        <v>40</v>
      </c>
      <c r="J272">
        <v>39.417646550000001</v>
      </c>
      <c r="K272">
        <v>0.97058909052104803</v>
      </c>
      <c r="L272">
        <v>0.97058908333333238</v>
      </c>
      <c r="M272">
        <v>1.0000000074055186</v>
      </c>
      <c r="N272" s="1"/>
    </row>
    <row r="273" spans="1:14" x14ac:dyDescent="0.3">
      <c r="A273" t="s">
        <v>45</v>
      </c>
      <c r="B273">
        <v>23.52</v>
      </c>
      <c r="E273">
        <v>0.8</v>
      </c>
      <c r="F273">
        <v>298</v>
      </c>
      <c r="G273">
        <v>2</v>
      </c>
      <c r="H273">
        <v>40</v>
      </c>
      <c r="J273">
        <v>38.776469570000003</v>
      </c>
      <c r="K273">
        <v>1.52941304433803</v>
      </c>
      <c r="L273">
        <v>1.5294130374999959</v>
      </c>
      <c r="M273">
        <v>1.0000000044710187</v>
      </c>
      <c r="N273" s="1"/>
    </row>
    <row r="274" spans="1:14" x14ac:dyDescent="0.3">
      <c r="A274" t="s">
        <v>45</v>
      </c>
      <c r="B274">
        <v>23.52</v>
      </c>
      <c r="E274">
        <v>1</v>
      </c>
      <c r="F274">
        <v>298</v>
      </c>
      <c r="G274">
        <v>2</v>
      </c>
      <c r="H274">
        <v>40</v>
      </c>
      <c r="J274">
        <v>35.970588190000001</v>
      </c>
      <c r="K274">
        <v>4.0294118132878998</v>
      </c>
      <c r="L274">
        <v>4.0294118099999992</v>
      </c>
      <c r="M274">
        <v>1.0000000008159753</v>
      </c>
      <c r="N274" s="1"/>
    </row>
    <row r="275" spans="1:14" x14ac:dyDescent="0.3">
      <c r="A275" t="s">
        <v>46</v>
      </c>
      <c r="B275">
        <v>21.12</v>
      </c>
      <c r="E275">
        <v>0.2</v>
      </c>
      <c r="F275">
        <v>298</v>
      </c>
      <c r="G275">
        <v>2</v>
      </c>
      <c r="H275">
        <v>40</v>
      </c>
      <c r="J275">
        <v>39.270588179999997</v>
      </c>
      <c r="K275">
        <v>3.6470591131882601</v>
      </c>
      <c r="L275">
        <v>3.6470591000000141</v>
      </c>
      <c r="M275">
        <v>1.0000000036161316</v>
      </c>
      <c r="N275" s="1"/>
    </row>
    <row r="276" spans="1:14" x14ac:dyDescent="0.3">
      <c r="A276" t="s">
        <v>46</v>
      </c>
      <c r="B276">
        <v>21.12</v>
      </c>
      <c r="E276">
        <v>0.4</v>
      </c>
      <c r="F276">
        <v>298</v>
      </c>
      <c r="G276">
        <v>2</v>
      </c>
      <c r="H276">
        <v>40</v>
      </c>
      <c r="J276">
        <v>37.682352950000002</v>
      </c>
      <c r="K276">
        <v>5.79411761864292</v>
      </c>
      <c r="L276">
        <v>5.7941176249999948</v>
      </c>
      <c r="M276">
        <v>0.99999999890283986</v>
      </c>
      <c r="N276" s="1"/>
    </row>
    <row r="277" spans="1:14" x14ac:dyDescent="0.3">
      <c r="A277" t="s">
        <v>46</v>
      </c>
      <c r="B277">
        <v>21.12</v>
      </c>
      <c r="E277">
        <v>0.6</v>
      </c>
      <c r="F277">
        <v>298</v>
      </c>
      <c r="G277">
        <v>2</v>
      </c>
      <c r="H277">
        <v>40</v>
      </c>
      <c r="J277">
        <v>34.158823380000001</v>
      </c>
      <c r="K277">
        <v>9.7352943660570208</v>
      </c>
      <c r="L277">
        <v>9.7352943666666647</v>
      </c>
      <c r="M277">
        <v>0.99999999993737798</v>
      </c>
      <c r="N277" s="1"/>
    </row>
    <row r="278" spans="1:14" x14ac:dyDescent="0.3">
      <c r="A278" t="s">
        <v>46</v>
      </c>
      <c r="B278">
        <v>21.12</v>
      </c>
      <c r="E278">
        <v>0.8</v>
      </c>
      <c r="F278">
        <v>298</v>
      </c>
      <c r="G278">
        <v>2</v>
      </c>
      <c r="H278">
        <v>40</v>
      </c>
      <c r="J278">
        <v>29.62352933</v>
      </c>
      <c r="K278">
        <v>12.9705883425412</v>
      </c>
      <c r="L278">
        <v>12.970588337499999</v>
      </c>
      <c r="M278">
        <v>1.000000000388664</v>
      </c>
      <c r="N278" s="1"/>
    </row>
    <row r="279" spans="1:14" x14ac:dyDescent="0.3">
      <c r="A279" t="s">
        <v>46</v>
      </c>
      <c r="B279">
        <v>21.12</v>
      </c>
      <c r="E279">
        <v>1</v>
      </c>
      <c r="F279">
        <v>298</v>
      </c>
      <c r="G279">
        <v>2</v>
      </c>
      <c r="H279">
        <v>40</v>
      </c>
      <c r="J279">
        <v>22.676470330000001</v>
      </c>
      <c r="K279">
        <v>17.323529665674499</v>
      </c>
      <c r="L279">
        <v>17.323529669999999</v>
      </c>
      <c r="M279">
        <v>0.99999999975031073</v>
      </c>
      <c r="N279" s="1"/>
    </row>
    <row r="280" spans="1:14" x14ac:dyDescent="0.3">
      <c r="A280" t="s">
        <v>48</v>
      </c>
      <c r="B280">
        <v>1192.0999999999999</v>
      </c>
      <c r="D280">
        <v>1.663</v>
      </c>
      <c r="E280">
        <v>0.2</v>
      </c>
      <c r="F280">
        <v>298</v>
      </c>
      <c r="G280">
        <v>1.67</v>
      </c>
      <c r="H280">
        <v>100</v>
      </c>
      <c r="J280">
        <v>72.566107279999997</v>
      </c>
      <c r="K280">
        <v>137.16946361382901</v>
      </c>
      <c r="L280">
        <v>137.1694636</v>
      </c>
      <c r="M280">
        <v>1.0000000001008169</v>
      </c>
      <c r="N280" s="1" t="s">
        <v>49</v>
      </c>
    </row>
    <row r="281" spans="1:14" x14ac:dyDescent="0.3">
      <c r="A281" t="s">
        <v>48</v>
      </c>
      <c r="B281">
        <v>1192.0999999999999</v>
      </c>
      <c r="D281">
        <v>1.663</v>
      </c>
      <c r="E281">
        <v>0.39904455184317</v>
      </c>
      <c r="F281">
        <v>298</v>
      </c>
      <c r="G281">
        <v>1.67</v>
      </c>
      <c r="H281">
        <v>100</v>
      </c>
      <c r="J281">
        <v>44.520981560000003</v>
      </c>
      <c r="K281">
        <v>139.03166084801001</v>
      </c>
      <c r="L281">
        <v>139.02963512155409</v>
      </c>
      <c r="M281">
        <v>1.0000145704651684</v>
      </c>
      <c r="N281" s="1"/>
    </row>
    <row r="282" spans="1:14" x14ac:dyDescent="0.3">
      <c r="A282" t="s">
        <v>48</v>
      </c>
      <c r="B282">
        <v>1192.0999999999999</v>
      </c>
      <c r="D282">
        <v>1.663</v>
      </c>
      <c r="E282">
        <v>0.59968149703319096</v>
      </c>
      <c r="F282">
        <v>298</v>
      </c>
      <c r="G282">
        <v>1.67</v>
      </c>
      <c r="H282">
        <v>100</v>
      </c>
      <c r="J282">
        <v>30.915521850000001</v>
      </c>
      <c r="K282">
        <v>115.195537671233</v>
      </c>
      <c r="L282">
        <v>115.20195052170558</v>
      </c>
      <c r="M282">
        <v>0.99994433383772108</v>
      </c>
      <c r="N282" s="1"/>
    </row>
    <row r="283" spans="1:14" x14ac:dyDescent="0.3">
      <c r="A283" t="s">
        <v>48</v>
      </c>
      <c r="B283">
        <v>1192.0999999999999</v>
      </c>
      <c r="D283">
        <v>1.663</v>
      </c>
      <c r="E283">
        <v>0.801910774826469</v>
      </c>
      <c r="F283">
        <v>298</v>
      </c>
      <c r="G283">
        <v>1.67</v>
      </c>
      <c r="H283">
        <v>100</v>
      </c>
      <c r="J283">
        <v>20.45848968</v>
      </c>
      <c r="K283">
        <v>99.180637195042607</v>
      </c>
      <c r="L283">
        <v>99.18997576408988</v>
      </c>
      <c r="M283">
        <v>0.99990585168536095</v>
      </c>
      <c r="N283" s="1"/>
    </row>
    <row r="284" spans="1:14" x14ac:dyDescent="0.3">
      <c r="A284" t="s">
        <v>48</v>
      </c>
      <c r="B284">
        <v>1192.0999999999999</v>
      </c>
      <c r="D284">
        <v>1.663</v>
      </c>
      <c r="E284">
        <v>1.0025477200164901</v>
      </c>
      <c r="F284">
        <v>298</v>
      </c>
      <c r="G284">
        <v>1.67</v>
      </c>
      <c r="H284">
        <v>100</v>
      </c>
      <c r="J284">
        <v>11.962109399999999</v>
      </c>
      <c r="K284">
        <v>87.821236908024005</v>
      </c>
      <c r="L284">
        <v>87.814164694875501</v>
      </c>
      <c r="M284">
        <v>1.0000805361318768</v>
      </c>
      <c r="N284" s="1"/>
    </row>
    <row r="285" spans="1:14" x14ac:dyDescent="0.3">
      <c r="A285" t="s">
        <v>48</v>
      </c>
      <c r="B285">
        <v>1192.0999999999999</v>
      </c>
      <c r="D285">
        <v>1.663</v>
      </c>
      <c r="E285">
        <v>1.20159233260325</v>
      </c>
      <c r="F285">
        <v>298</v>
      </c>
      <c r="G285">
        <v>1.67</v>
      </c>
      <c r="H285">
        <v>100</v>
      </c>
      <c r="J285">
        <v>7.88456768</v>
      </c>
      <c r="K285">
        <v>76.648053502935994</v>
      </c>
      <c r="L285">
        <v>76.661135245788302</v>
      </c>
      <c r="M285">
        <v>0.99982935625972191</v>
      </c>
      <c r="N285" s="1"/>
    </row>
    <row r="286" spans="1:14" x14ac:dyDescent="0.3">
      <c r="A286" t="s">
        <v>48</v>
      </c>
      <c r="B286">
        <v>1192.0999999999999</v>
      </c>
      <c r="D286">
        <v>1.663</v>
      </c>
      <c r="E286">
        <v>1</v>
      </c>
      <c r="F286">
        <v>298</v>
      </c>
      <c r="G286">
        <v>1.67</v>
      </c>
      <c r="H286">
        <v>100</v>
      </c>
      <c r="J286">
        <v>23.825502960000001</v>
      </c>
      <c r="K286">
        <v>76.174497041641601</v>
      </c>
      <c r="L286">
        <v>76.174497040000006</v>
      </c>
      <c r="M286">
        <v>1.0000000000215505</v>
      </c>
      <c r="N286" s="1"/>
    </row>
    <row r="287" spans="1:14" x14ac:dyDescent="0.3">
      <c r="A287" t="s">
        <v>48</v>
      </c>
      <c r="B287">
        <v>1192.0999999999999</v>
      </c>
      <c r="D287">
        <v>1.663</v>
      </c>
      <c r="E287">
        <v>1</v>
      </c>
      <c r="F287">
        <v>303</v>
      </c>
      <c r="G287">
        <v>1.67</v>
      </c>
      <c r="H287">
        <v>100</v>
      </c>
      <c r="J287">
        <v>23.355703819999999</v>
      </c>
      <c r="K287">
        <v>76.644296178323202</v>
      </c>
      <c r="L287">
        <v>76.644296179999998</v>
      </c>
      <c r="M287">
        <v>0.99999999997812239</v>
      </c>
      <c r="N287" s="1"/>
    </row>
    <row r="288" spans="1:14" x14ac:dyDescent="0.3">
      <c r="A288" t="s">
        <v>48</v>
      </c>
      <c r="B288">
        <v>1192.0999999999999</v>
      </c>
      <c r="D288">
        <v>1.663</v>
      </c>
      <c r="E288">
        <v>1</v>
      </c>
      <c r="F288">
        <v>308</v>
      </c>
      <c r="G288">
        <v>1.67</v>
      </c>
      <c r="H288">
        <v>100</v>
      </c>
      <c r="J288">
        <v>25.033556050000001</v>
      </c>
      <c r="K288">
        <v>74.966443947459894</v>
      </c>
      <c r="L288">
        <v>74.966443949999999</v>
      </c>
      <c r="M288">
        <v>0.99999999996611677</v>
      </c>
      <c r="N288" s="1"/>
    </row>
    <row r="289" spans="1:14" x14ac:dyDescent="0.3">
      <c r="A289" t="s">
        <v>48</v>
      </c>
      <c r="B289">
        <v>1192.0999999999999</v>
      </c>
      <c r="D289">
        <v>1.663</v>
      </c>
      <c r="E289">
        <v>1</v>
      </c>
      <c r="F289">
        <v>313</v>
      </c>
      <c r="G289">
        <v>1.67</v>
      </c>
      <c r="H289">
        <v>100</v>
      </c>
      <c r="J289">
        <v>22.617447299999998</v>
      </c>
      <c r="K289">
        <v>77.382552696022699</v>
      </c>
      <c r="L289">
        <v>77.382552700000005</v>
      </c>
      <c r="M289">
        <v>0.999999999948602</v>
      </c>
      <c r="N289" s="1"/>
    </row>
    <row r="290" spans="1:14" x14ac:dyDescent="0.3">
      <c r="A290" t="s">
        <v>48</v>
      </c>
      <c r="B290">
        <v>1192.0999999999999</v>
      </c>
      <c r="D290">
        <v>1.663</v>
      </c>
      <c r="E290">
        <v>1</v>
      </c>
      <c r="F290">
        <v>318</v>
      </c>
      <c r="G290">
        <v>1.67</v>
      </c>
      <c r="H290">
        <v>100</v>
      </c>
      <c r="J290">
        <v>18.926172399999999</v>
      </c>
      <c r="K290">
        <v>81.073827603921899</v>
      </c>
      <c r="L290">
        <v>81.073827600000001</v>
      </c>
      <c r="M290">
        <v>1.0000000000483744</v>
      </c>
      <c r="N290" s="1"/>
    </row>
    <row r="291" spans="1:14" x14ac:dyDescent="0.3">
      <c r="A291" t="s">
        <v>48</v>
      </c>
      <c r="B291">
        <v>1192.0999999999999</v>
      </c>
      <c r="D291">
        <v>1.663</v>
      </c>
      <c r="E291">
        <v>1</v>
      </c>
      <c r="F291">
        <v>298</v>
      </c>
      <c r="G291">
        <v>1.67</v>
      </c>
      <c r="H291">
        <v>50</v>
      </c>
      <c r="J291">
        <v>10.6805276</v>
      </c>
      <c r="K291">
        <v>39.319472400663997</v>
      </c>
      <c r="L291">
        <v>39.319472400000002</v>
      </c>
      <c r="M291">
        <v>1.0000000000168872</v>
      </c>
      <c r="N291" s="1"/>
    </row>
    <row r="292" spans="1:14" x14ac:dyDescent="0.3">
      <c r="A292" t="s">
        <v>48</v>
      </c>
      <c r="B292">
        <v>1192.0999999999999</v>
      </c>
      <c r="D292">
        <v>1.663</v>
      </c>
      <c r="E292">
        <v>1</v>
      </c>
      <c r="F292">
        <v>298</v>
      </c>
      <c r="G292">
        <v>1.67</v>
      </c>
      <c r="H292">
        <v>100</v>
      </c>
      <c r="J292">
        <v>21.36107827</v>
      </c>
      <c r="K292">
        <v>78.638921725653702</v>
      </c>
      <c r="L292">
        <v>78.638921729999993</v>
      </c>
      <c r="M292">
        <v>0.9999999999447311</v>
      </c>
      <c r="N292" s="1"/>
    </row>
    <row r="293" spans="1:14" x14ac:dyDescent="0.3">
      <c r="A293" t="s">
        <v>48</v>
      </c>
      <c r="B293">
        <v>1192.0999999999999</v>
      </c>
      <c r="D293">
        <v>1.663</v>
      </c>
      <c r="E293">
        <v>1</v>
      </c>
      <c r="F293">
        <v>298</v>
      </c>
      <c r="G293">
        <v>1.67</v>
      </c>
      <c r="H293">
        <v>200</v>
      </c>
      <c r="J293">
        <v>69.943306699999994</v>
      </c>
      <c r="K293">
        <v>130.05669332652201</v>
      </c>
      <c r="L293">
        <v>130.05669330000001</v>
      </c>
      <c r="M293">
        <v>1.0000000002039264</v>
      </c>
      <c r="N293" s="1"/>
    </row>
    <row r="294" spans="1:14" x14ac:dyDescent="0.3">
      <c r="A294" t="s">
        <v>48</v>
      </c>
      <c r="B294">
        <v>1192.0999999999999</v>
      </c>
      <c r="D294">
        <v>1.663</v>
      </c>
      <c r="E294">
        <v>1</v>
      </c>
      <c r="F294">
        <v>298</v>
      </c>
      <c r="G294">
        <v>1.67</v>
      </c>
      <c r="H294">
        <v>300</v>
      </c>
      <c r="J294">
        <v>160.86958229999999</v>
      </c>
      <c r="K294">
        <v>139.13041772667501</v>
      </c>
      <c r="L294">
        <v>139.13041770000001</v>
      </c>
      <c r="M294">
        <v>1.0000000001917266</v>
      </c>
      <c r="N294" s="1"/>
    </row>
    <row r="295" spans="1:14" x14ac:dyDescent="0.3">
      <c r="A295" t="s">
        <v>48</v>
      </c>
      <c r="B295">
        <v>1192.0999999999999</v>
      </c>
      <c r="D295">
        <v>1.663</v>
      </c>
      <c r="E295">
        <v>1</v>
      </c>
      <c r="F295">
        <v>298</v>
      </c>
      <c r="G295">
        <v>1.67</v>
      </c>
      <c r="H295">
        <v>400</v>
      </c>
      <c r="J295">
        <v>156.2192757</v>
      </c>
      <c r="K295">
        <v>243.780724268982</v>
      </c>
      <c r="L295">
        <v>243.7807243</v>
      </c>
      <c r="M295">
        <v>0.99999999987276267</v>
      </c>
      <c r="N295" s="1"/>
    </row>
    <row r="296" spans="1:14" x14ac:dyDescent="0.3">
      <c r="A296" t="s">
        <v>48</v>
      </c>
      <c r="B296">
        <v>1192.0999999999999</v>
      </c>
      <c r="D296">
        <v>1.663</v>
      </c>
      <c r="E296">
        <v>1</v>
      </c>
      <c r="F296">
        <v>298</v>
      </c>
      <c r="G296">
        <v>1.67</v>
      </c>
      <c r="H296">
        <v>500</v>
      </c>
      <c r="J296">
        <v>219.3194724</v>
      </c>
      <c r="K296">
        <v>280.68052759933499</v>
      </c>
      <c r="L296">
        <v>280.6805276</v>
      </c>
      <c r="M296">
        <v>0.99999999999763067</v>
      </c>
      <c r="N296" s="1"/>
    </row>
    <row r="297" spans="1:14" x14ac:dyDescent="0.3">
      <c r="A297" t="s">
        <v>48</v>
      </c>
      <c r="B297">
        <v>1192.0999999999999</v>
      </c>
      <c r="D297">
        <v>1.663</v>
      </c>
      <c r="E297">
        <v>1</v>
      </c>
      <c r="F297">
        <v>298</v>
      </c>
      <c r="G297">
        <v>1.67</v>
      </c>
      <c r="H297">
        <v>100</v>
      </c>
      <c r="I297">
        <v>3</v>
      </c>
      <c r="J297">
        <v>28.712868669999999</v>
      </c>
      <c r="K297">
        <v>71.2871313305439</v>
      </c>
      <c r="L297">
        <v>71.287131329999994</v>
      </c>
      <c r="M297">
        <v>1.0000000000076299</v>
      </c>
      <c r="N297" s="1"/>
    </row>
    <row r="298" spans="1:14" x14ac:dyDescent="0.3">
      <c r="A298" t="s">
        <v>48</v>
      </c>
      <c r="B298">
        <v>1192.0999999999999</v>
      </c>
      <c r="D298">
        <v>1.663</v>
      </c>
      <c r="E298">
        <v>1</v>
      </c>
      <c r="F298">
        <v>298</v>
      </c>
      <c r="G298">
        <v>1.67</v>
      </c>
      <c r="H298">
        <v>100</v>
      </c>
      <c r="I298">
        <v>4</v>
      </c>
      <c r="J298">
        <v>15.51154945</v>
      </c>
      <c r="K298">
        <v>84.488450548449194</v>
      </c>
      <c r="L298">
        <v>84.488450549999996</v>
      </c>
      <c r="M298">
        <v>0.99999999998164479</v>
      </c>
      <c r="N298" s="1"/>
    </row>
    <row r="299" spans="1:14" x14ac:dyDescent="0.3">
      <c r="A299" t="s">
        <v>48</v>
      </c>
      <c r="B299">
        <v>1192.0999999999999</v>
      </c>
      <c r="D299">
        <v>1.663</v>
      </c>
      <c r="E299">
        <v>1</v>
      </c>
      <c r="F299">
        <v>298</v>
      </c>
      <c r="G299">
        <v>1.67</v>
      </c>
      <c r="H299">
        <v>100</v>
      </c>
      <c r="I299">
        <v>5</v>
      </c>
      <c r="J299">
        <v>22.77227439</v>
      </c>
      <c r="K299">
        <v>77.227725608089301</v>
      </c>
      <c r="L299">
        <v>77.227725609999993</v>
      </c>
      <c r="M299">
        <v>0.99999999997525901</v>
      </c>
      <c r="N299" s="1"/>
    </row>
    <row r="300" spans="1:14" x14ac:dyDescent="0.3">
      <c r="A300" t="s">
        <v>48</v>
      </c>
      <c r="B300">
        <v>1192.0999999999999</v>
      </c>
      <c r="D300">
        <v>1.663</v>
      </c>
      <c r="E300">
        <v>1</v>
      </c>
      <c r="F300">
        <v>298</v>
      </c>
      <c r="G300">
        <v>1.67</v>
      </c>
      <c r="H300">
        <v>100</v>
      </c>
      <c r="I300">
        <v>6</v>
      </c>
      <c r="J300">
        <v>17.656765709999998</v>
      </c>
      <c r="K300">
        <v>82.343234287075703</v>
      </c>
      <c r="L300">
        <v>82.343234289999998</v>
      </c>
      <c r="M300">
        <v>0.99999999996448652</v>
      </c>
      <c r="N300" s="1"/>
    </row>
    <row r="301" spans="1:14" x14ac:dyDescent="0.3">
      <c r="A301" t="s">
        <v>48</v>
      </c>
      <c r="B301">
        <v>1192.0999999999999</v>
      </c>
      <c r="D301">
        <v>1.663</v>
      </c>
      <c r="E301">
        <v>1</v>
      </c>
      <c r="F301">
        <v>298</v>
      </c>
      <c r="G301">
        <v>1.67</v>
      </c>
      <c r="H301">
        <v>100</v>
      </c>
      <c r="I301">
        <v>7</v>
      </c>
      <c r="J301">
        <v>15.84158369</v>
      </c>
      <c r="K301">
        <v>84.158416309025696</v>
      </c>
      <c r="L301">
        <v>84.158416310000007</v>
      </c>
      <c r="M301">
        <v>0.99999999998842293</v>
      </c>
      <c r="N301" s="1"/>
    </row>
    <row r="302" spans="1:14" x14ac:dyDescent="0.3">
      <c r="A302" t="s">
        <v>48</v>
      </c>
      <c r="B302">
        <v>1192.0999999999999</v>
      </c>
      <c r="D302">
        <v>1.663</v>
      </c>
      <c r="E302">
        <v>1</v>
      </c>
      <c r="F302">
        <v>298</v>
      </c>
      <c r="G302">
        <v>1.67</v>
      </c>
      <c r="H302">
        <v>100</v>
      </c>
      <c r="I302">
        <v>8</v>
      </c>
      <c r="J302">
        <v>18.481848159999998</v>
      </c>
      <c r="K302">
        <v>81.518151835956701</v>
      </c>
      <c r="L302">
        <v>81.518151840000002</v>
      </c>
      <c r="M302">
        <v>0.99999999995040001</v>
      </c>
      <c r="N302" s="1"/>
    </row>
    <row r="303" spans="1:14" x14ac:dyDescent="0.3">
      <c r="A303" t="s">
        <v>48</v>
      </c>
      <c r="B303">
        <v>1192.0999999999999</v>
      </c>
      <c r="D303">
        <v>1.663</v>
      </c>
      <c r="E303">
        <v>1</v>
      </c>
      <c r="F303">
        <v>298</v>
      </c>
      <c r="G303">
        <v>1.67</v>
      </c>
      <c r="H303">
        <v>100</v>
      </c>
      <c r="I303">
        <v>9</v>
      </c>
      <c r="J303">
        <v>13.36633634</v>
      </c>
      <c r="K303">
        <v>86.633663662382901</v>
      </c>
      <c r="L303">
        <v>86.633663659999996</v>
      </c>
      <c r="M303">
        <v>1.0000000000275056</v>
      </c>
      <c r="N303" s="1"/>
    </row>
    <row r="304" spans="1:14" x14ac:dyDescent="0.3">
      <c r="A304" t="s">
        <v>48</v>
      </c>
      <c r="B304">
        <v>1192.0999999999999</v>
      </c>
      <c r="D304">
        <v>1.663</v>
      </c>
      <c r="E304">
        <v>1</v>
      </c>
      <c r="F304">
        <v>298</v>
      </c>
      <c r="G304">
        <v>1.67</v>
      </c>
      <c r="H304">
        <v>100</v>
      </c>
      <c r="I304">
        <v>10</v>
      </c>
      <c r="J304">
        <v>17.656765709999998</v>
      </c>
      <c r="K304">
        <v>82.343234287075703</v>
      </c>
      <c r="L304">
        <v>82.343234289999998</v>
      </c>
      <c r="M304">
        <v>0.99999999996448652</v>
      </c>
      <c r="N304" s="1"/>
    </row>
    <row r="305" spans="1:14" x14ac:dyDescent="0.3">
      <c r="A305" t="s">
        <v>48</v>
      </c>
      <c r="B305">
        <v>1192.0999999999999</v>
      </c>
      <c r="D305">
        <v>1.663</v>
      </c>
      <c r="E305">
        <v>1</v>
      </c>
      <c r="F305">
        <v>298</v>
      </c>
      <c r="G305">
        <v>1.67</v>
      </c>
      <c r="H305">
        <v>100</v>
      </c>
      <c r="I305">
        <v>11</v>
      </c>
      <c r="J305">
        <v>37.45874139</v>
      </c>
      <c r="K305">
        <v>62.541258607657603</v>
      </c>
      <c r="L305">
        <v>62.54125861</v>
      </c>
      <c r="M305">
        <v>0.9999999999625464</v>
      </c>
      <c r="N305" s="1"/>
    </row>
    <row r="306" spans="1:14" x14ac:dyDescent="0.3">
      <c r="A306" t="s">
        <v>48</v>
      </c>
      <c r="B306">
        <v>1192.0999999999999</v>
      </c>
      <c r="D306">
        <v>1.663</v>
      </c>
      <c r="E306">
        <v>1</v>
      </c>
      <c r="F306">
        <v>298</v>
      </c>
      <c r="G306">
        <v>1.67</v>
      </c>
      <c r="H306">
        <v>100</v>
      </c>
      <c r="I306">
        <v>12</v>
      </c>
      <c r="J306">
        <v>96.369629660000001</v>
      </c>
      <c r="K306">
        <v>3.6303703387794002</v>
      </c>
      <c r="L306">
        <v>3.6303703399999989</v>
      </c>
      <c r="M306">
        <v>0.99999999966378117</v>
      </c>
      <c r="N306" s="1"/>
    </row>
    <row r="307" spans="1:14" x14ac:dyDescent="0.3">
      <c r="A307" t="s">
        <v>48</v>
      </c>
      <c r="B307">
        <v>1192.0999999999999</v>
      </c>
      <c r="D307">
        <v>1.663</v>
      </c>
      <c r="E307">
        <v>1</v>
      </c>
      <c r="F307">
        <v>298</v>
      </c>
      <c r="G307">
        <v>1.67</v>
      </c>
      <c r="H307">
        <v>2.7565127619999998</v>
      </c>
      <c r="J307">
        <v>0.92653879779563797</v>
      </c>
      <c r="K307">
        <v>1.82997396375065</v>
      </c>
      <c r="L307">
        <v>1.829973964204362</v>
      </c>
      <c r="M307">
        <v>0.99999999975206644</v>
      </c>
      <c r="N307" s="1"/>
    </row>
    <row r="308" spans="1:14" x14ac:dyDescent="0.3">
      <c r="A308" t="s">
        <v>48</v>
      </c>
      <c r="B308">
        <v>1192.0999999999999</v>
      </c>
      <c r="D308">
        <v>1.663</v>
      </c>
      <c r="E308">
        <v>1</v>
      </c>
      <c r="F308">
        <v>298</v>
      </c>
      <c r="G308">
        <v>1.67</v>
      </c>
      <c r="H308">
        <v>3.2812980920000001</v>
      </c>
      <c r="J308">
        <v>1.2160822039466701</v>
      </c>
      <c r="K308">
        <v>2.0652158875447602</v>
      </c>
      <c r="L308">
        <v>2.0652158880533298</v>
      </c>
      <c r="M308">
        <v>0.99999999975374509</v>
      </c>
      <c r="N308" s="1"/>
    </row>
    <row r="309" spans="1:14" x14ac:dyDescent="0.3">
      <c r="A309" t="s">
        <v>48</v>
      </c>
      <c r="B309">
        <v>1192.0999999999999</v>
      </c>
      <c r="D309">
        <v>1.663</v>
      </c>
      <c r="E309">
        <v>1</v>
      </c>
      <c r="F309">
        <v>298</v>
      </c>
      <c r="G309">
        <v>1.67</v>
      </c>
      <c r="H309">
        <v>3.9799740689999998</v>
      </c>
      <c r="J309">
        <v>1.76665870877765</v>
      </c>
      <c r="K309">
        <v>2.21331536038609</v>
      </c>
      <c r="L309">
        <v>2.2133153602223499</v>
      </c>
      <c r="M309">
        <v>1.0000000000739795</v>
      </c>
      <c r="N309" s="1"/>
    </row>
    <row r="310" spans="1:14" x14ac:dyDescent="0.3">
      <c r="A310" t="s">
        <v>48</v>
      </c>
      <c r="B310">
        <v>1192.0999999999999</v>
      </c>
      <c r="D310">
        <v>1.663</v>
      </c>
      <c r="E310">
        <v>1</v>
      </c>
      <c r="F310">
        <v>298</v>
      </c>
      <c r="G310">
        <v>1.67</v>
      </c>
      <c r="H310">
        <v>4.4148858769999997</v>
      </c>
      <c r="J310">
        <v>2.1683073384208602</v>
      </c>
      <c r="K310">
        <v>2.2465785385108701</v>
      </c>
      <c r="L310">
        <v>2.2465785385791395</v>
      </c>
      <c r="M310">
        <v>0.99999999996961186</v>
      </c>
      <c r="N310" s="1"/>
    </row>
    <row r="311" spans="1:14" x14ac:dyDescent="0.3">
      <c r="A311" t="s">
        <v>48</v>
      </c>
      <c r="B311">
        <v>1192.0999999999999</v>
      </c>
      <c r="D311">
        <v>1.663</v>
      </c>
      <c r="E311">
        <v>1</v>
      </c>
      <c r="F311">
        <v>298</v>
      </c>
      <c r="G311">
        <v>1.67</v>
      </c>
      <c r="H311">
        <v>4.7807102590000001</v>
      </c>
      <c r="J311">
        <v>2.5112760932399101</v>
      </c>
      <c r="K311">
        <v>2.2694341659067701</v>
      </c>
      <c r="L311">
        <v>2.26943416576009</v>
      </c>
      <c r="M311">
        <v>1.0000000000646327</v>
      </c>
      <c r="N311" s="1"/>
    </row>
    <row r="312" spans="1:14" x14ac:dyDescent="0.3">
      <c r="A312" t="s">
        <v>48</v>
      </c>
      <c r="B312">
        <v>1192.0999999999999</v>
      </c>
      <c r="D312">
        <v>1.663</v>
      </c>
      <c r="E312">
        <v>1</v>
      </c>
      <c r="F312">
        <v>298</v>
      </c>
      <c r="G312">
        <v>1.67</v>
      </c>
      <c r="H312">
        <v>4.8666263689999996</v>
      </c>
      <c r="J312">
        <v>2.5618580799340198</v>
      </c>
      <c r="K312">
        <v>2.3047682887714802</v>
      </c>
      <c r="L312">
        <v>2.3047682890659797</v>
      </c>
      <c r="M312">
        <v>0.99999999987222166</v>
      </c>
      <c r="N312" s="1"/>
    </row>
    <row r="313" spans="1:14" x14ac:dyDescent="0.3">
      <c r="A313" t="s">
        <v>50</v>
      </c>
      <c r="B313">
        <v>511.05</v>
      </c>
      <c r="C313">
        <v>0.19</v>
      </c>
      <c r="D313">
        <v>1.6579999999999999</v>
      </c>
      <c r="E313">
        <v>0.5</v>
      </c>
      <c r="F313">
        <v>298</v>
      </c>
      <c r="G313">
        <v>11.6666666666666</v>
      </c>
      <c r="H313">
        <v>50</v>
      </c>
      <c r="J313">
        <v>9.3750007600000007</v>
      </c>
      <c r="K313">
        <v>81.249998471675696</v>
      </c>
      <c r="L313">
        <v>81.249998480000002</v>
      </c>
      <c r="M313">
        <v>0.99999999989754695</v>
      </c>
      <c r="N313" s="1" t="s">
        <v>51</v>
      </c>
    </row>
    <row r="314" spans="1:14" x14ac:dyDescent="0.3">
      <c r="A314" t="s">
        <v>50</v>
      </c>
      <c r="B314">
        <v>511.05</v>
      </c>
      <c r="C314">
        <v>0.19</v>
      </c>
      <c r="D314">
        <v>1.6579999999999999</v>
      </c>
      <c r="E314">
        <v>0.5</v>
      </c>
      <c r="F314">
        <v>303</v>
      </c>
      <c r="G314">
        <v>11.6666666666666</v>
      </c>
      <c r="H314">
        <v>50</v>
      </c>
      <c r="J314">
        <v>5.9294884999999997</v>
      </c>
      <c r="K314">
        <v>88.141023002380294</v>
      </c>
      <c r="L314">
        <v>88.141023000000004</v>
      </c>
      <c r="M314">
        <v>1.0000000000270055</v>
      </c>
      <c r="N314" s="1"/>
    </row>
    <row r="315" spans="1:14" x14ac:dyDescent="0.3">
      <c r="A315" t="s">
        <v>50</v>
      </c>
      <c r="B315">
        <v>511.05</v>
      </c>
      <c r="C315">
        <v>0.19</v>
      </c>
      <c r="D315">
        <v>1.6579999999999999</v>
      </c>
      <c r="E315">
        <v>0.5</v>
      </c>
      <c r="F315">
        <v>308</v>
      </c>
      <c r="G315">
        <v>11.6666666666666</v>
      </c>
      <c r="H315">
        <v>50</v>
      </c>
      <c r="J315">
        <v>9.8557703100000005</v>
      </c>
      <c r="K315">
        <v>80.288459383132405</v>
      </c>
      <c r="L315">
        <v>80.288459380000006</v>
      </c>
      <c r="M315">
        <v>1.0000000000390143</v>
      </c>
      <c r="N315" s="1"/>
    </row>
    <row r="316" spans="1:14" x14ac:dyDescent="0.3">
      <c r="A316" t="s">
        <v>50</v>
      </c>
      <c r="B316">
        <v>511.05</v>
      </c>
      <c r="C316">
        <v>0.19</v>
      </c>
      <c r="D316">
        <v>1.6579999999999999</v>
      </c>
      <c r="E316">
        <v>0.5</v>
      </c>
      <c r="F316">
        <v>313</v>
      </c>
      <c r="G316">
        <v>11.6666666666666</v>
      </c>
      <c r="H316">
        <v>50</v>
      </c>
      <c r="J316">
        <v>4.3269243700000004</v>
      </c>
      <c r="K316">
        <v>91.346151259758898</v>
      </c>
      <c r="L316">
        <v>91.346151259999999</v>
      </c>
      <c r="M316">
        <v>0.99999999999736056</v>
      </c>
      <c r="N316" s="1"/>
    </row>
    <row r="317" spans="1:14" x14ac:dyDescent="0.3">
      <c r="A317" t="s">
        <v>50</v>
      </c>
      <c r="B317">
        <v>511.05</v>
      </c>
      <c r="C317">
        <v>0.19</v>
      </c>
      <c r="D317">
        <v>1.6579999999999999</v>
      </c>
      <c r="E317">
        <v>0.5</v>
      </c>
      <c r="F317">
        <v>318</v>
      </c>
      <c r="G317">
        <v>11.6666666666666</v>
      </c>
      <c r="H317">
        <v>50</v>
      </c>
      <c r="J317">
        <v>5.2884649850000001</v>
      </c>
      <c r="K317">
        <v>89.423070026023893</v>
      </c>
      <c r="L317">
        <v>89.423070030000005</v>
      </c>
      <c r="M317">
        <v>0.9999999999555359</v>
      </c>
      <c r="N317" s="1"/>
    </row>
    <row r="318" spans="1:14" x14ac:dyDescent="0.3">
      <c r="A318" t="s">
        <v>50</v>
      </c>
      <c r="B318">
        <v>511.05</v>
      </c>
      <c r="C318">
        <v>0.19</v>
      </c>
      <c r="D318">
        <v>1.6579999999999999</v>
      </c>
      <c r="E318">
        <v>0.5</v>
      </c>
      <c r="F318">
        <v>298</v>
      </c>
      <c r="G318">
        <v>11.6666666666666</v>
      </c>
      <c r="H318">
        <v>50</v>
      </c>
      <c r="J318">
        <v>2.611111535</v>
      </c>
      <c r="K318">
        <v>94.777776930067205</v>
      </c>
      <c r="L318">
        <v>94.777776930000002</v>
      </c>
      <c r="M318">
        <v>1.000000000000709</v>
      </c>
      <c r="N318" s="1"/>
    </row>
    <row r="319" spans="1:14" x14ac:dyDescent="0.3">
      <c r="A319" t="s">
        <v>50</v>
      </c>
      <c r="B319">
        <v>511.05</v>
      </c>
      <c r="C319">
        <v>0.19</v>
      </c>
      <c r="D319">
        <v>1.6579999999999999</v>
      </c>
      <c r="E319">
        <v>0.5</v>
      </c>
      <c r="F319">
        <v>303</v>
      </c>
      <c r="G319">
        <v>11.6666666666666</v>
      </c>
      <c r="H319">
        <v>50</v>
      </c>
      <c r="J319">
        <v>0.55555600000000005</v>
      </c>
      <c r="K319">
        <v>100.88888804117801</v>
      </c>
      <c r="L319">
        <v>98.888887999999994</v>
      </c>
      <c r="M319">
        <v>1.0202247196993257</v>
      </c>
      <c r="N319" s="1"/>
    </row>
    <row r="320" spans="1:14" x14ac:dyDescent="0.3">
      <c r="A320" t="s">
        <v>50</v>
      </c>
      <c r="B320">
        <v>511.05</v>
      </c>
      <c r="C320">
        <v>0.19</v>
      </c>
      <c r="D320">
        <v>1.6579999999999999</v>
      </c>
      <c r="E320">
        <v>0.5</v>
      </c>
      <c r="F320">
        <v>308</v>
      </c>
      <c r="G320">
        <v>11.6666666666666</v>
      </c>
      <c r="H320">
        <v>50</v>
      </c>
      <c r="J320">
        <v>1.4444435950000001</v>
      </c>
      <c r="K320">
        <v>97.111112806532105</v>
      </c>
      <c r="L320">
        <v>97.111112809999995</v>
      </c>
      <c r="M320">
        <v>0.99999999996428945</v>
      </c>
      <c r="N320" s="1"/>
    </row>
    <row r="321" spans="1:14" x14ac:dyDescent="0.3">
      <c r="A321" t="s">
        <v>50</v>
      </c>
      <c r="B321">
        <v>511.05</v>
      </c>
      <c r="C321">
        <v>0.19</v>
      </c>
      <c r="D321">
        <v>1.6579999999999999</v>
      </c>
      <c r="E321">
        <v>0.5</v>
      </c>
      <c r="F321">
        <v>313</v>
      </c>
      <c r="G321">
        <v>11.6666666666666</v>
      </c>
      <c r="H321">
        <v>50</v>
      </c>
      <c r="J321">
        <v>0.38888804999999999</v>
      </c>
      <c r="K321">
        <v>103.22222391764301</v>
      </c>
      <c r="L321">
        <v>99.222223900000003</v>
      </c>
      <c r="M321">
        <v>1.0403135493281663</v>
      </c>
      <c r="N321" s="1"/>
    </row>
    <row r="322" spans="1:14" x14ac:dyDescent="0.3">
      <c r="A322" t="s">
        <v>50</v>
      </c>
      <c r="B322">
        <v>511.05</v>
      </c>
      <c r="C322">
        <v>0.19</v>
      </c>
      <c r="D322">
        <v>1.6579999999999999</v>
      </c>
      <c r="E322">
        <v>0.5</v>
      </c>
      <c r="F322">
        <v>318</v>
      </c>
      <c r="G322">
        <v>11.6666666666666</v>
      </c>
      <c r="H322">
        <v>50</v>
      </c>
      <c r="J322">
        <v>0.22222095</v>
      </c>
      <c r="K322">
        <v>99.555558098687001</v>
      </c>
      <c r="L322">
        <v>99.555558099999999</v>
      </c>
      <c r="M322">
        <v>0.99999999998681144</v>
      </c>
      <c r="N322" s="1"/>
    </row>
    <row r="323" spans="1:14" x14ac:dyDescent="0.3">
      <c r="A323" t="s">
        <v>50</v>
      </c>
      <c r="B323">
        <v>511.05</v>
      </c>
      <c r="C323">
        <v>0.19</v>
      </c>
      <c r="D323">
        <v>1.6579999999999999</v>
      </c>
      <c r="E323">
        <v>0.1</v>
      </c>
      <c r="F323">
        <v>313</v>
      </c>
      <c r="G323">
        <v>3.3333333333333299</v>
      </c>
      <c r="H323">
        <v>50</v>
      </c>
      <c r="J323">
        <v>0.42735040000000002</v>
      </c>
      <c r="K323">
        <v>495.72649600516399</v>
      </c>
      <c r="L323">
        <v>495.72649599999994</v>
      </c>
      <c r="M323">
        <v>1.0000000000104172</v>
      </c>
      <c r="N323" s="1"/>
    </row>
    <row r="324" spans="1:14" x14ac:dyDescent="0.3">
      <c r="A324" t="s">
        <v>50</v>
      </c>
      <c r="B324">
        <v>511.05</v>
      </c>
      <c r="C324">
        <v>0.19</v>
      </c>
      <c r="D324">
        <v>1.6579999999999999</v>
      </c>
      <c r="E324">
        <v>0.2</v>
      </c>
      <c r="F324">
        <v>313</v>
      </c>
      <c r="G324">
        <v>3.3333333333333299</v>
      </c>
      <c r="H324">
        <v>50</v>
      </c>
      <c r="J324">
        <v>2.6495809600000002</v>
      </c>
      <c r="K324">
        <v>236.75209523048699</v>
      </c>
      <c r="L324">
        <v>236.75209519999999</v>
      </c>
      <c r="M324">
        <v>1.0000000001287719</v>
      </c>
      <c r="N324" s="1"/>
    </row>
    <row r="325" spans="1:14" x14ac:dyDescent="0.3">
      <c r="A325" t="s">
        <v>50</v>
      </c>
      <c r="B325">
        <v>511.05</v>
      </c>
      <c r="C325">
        <v>0.19</v>
      </c>
      <c r="D325">
        <v>1.6579999999999999</v>
      </c>
      <c r="E325">
        <v>0.3</v>
      </c>
      <c r="F325">
        <v>313</v>
      </c>
      <c r="G325">
        <v>3.3333333333333299</v>
      </c>
      <c r="H325">
        <v>50</v>
      </c>
      <c r="J325">
        <v>2.3076797600000001</v>
      </c>
      <c r="K325">
        <v>158.97440077467601</v>
      </c>
      <c r="L325">
        <v>158.97440080000001</v>
      </c>
      <c r="M325">
        <v>0.99999999984070387</v>
      </c>
      <c r="N325" s="1"/>
    </row>
    <row r="326" spans="1:14" x14ac:dyDescent="0.3">
      <c r="A326" t="s">
        <v>50</v>
      </c>
      <c r="B326">
        <v>511.05</v>
      </c>
      <c r="C326">
        <v>0.19</v>
      </c>
      <c r="D326">
        <v>1.6579999999999999</v>
      </c>
      <c r="E326">
        <v>0.4</v>
      </c>
      <c r="F326">
        <v>313</v>
      </c>
      <c r="G326">
        <v>3.3333333333333299</v>
      </c>
      <c r="H326">
        <v>50</v>
      </c>
      <c r="J326">
        <v>4.1880189200000002</v>
      </c>
      <c r="K326">
        <v>114.529952707538</v>
      </c>
      <c r="L326">
        <v>114.5299527</v>
      </c>
      <c r="M326">
        <v>1.0000000000658169</v>
      </c>
      <c r="N326" s="1"/>
    </row>
    <row r="327" spans="1:14" x14ac:dyDescent="0.3">
      <c r="A327" t="s">
        <v>50</v>
      </c>
      <c r="B327">
        <v>511.05</v>
      </c>
      <c r="C327">
        <v>0.19</v>
      </c>
      <c r="D327">
        <v>1.6579999999999999</v>
      </c>
      <c r="E327">
        <v>0.5</v>
      </c>
      <c r="F327">
        <v>313</v>
      </c>
      <c r="G327">
        <v>3.3333333333333299</v>
      </c>
      <c r="H327">
        <v>50</v>
      </c>
      <c r="J327">
        <v>5.9828795100000001</v>
      </c>
      <c r="K327">
        <v>88.034240981257398</v>
      </c>
      <c r="L327">
        <v>88.034240979999993</v>
      </c>
      <c r="M327">
        <v>1.0000000000142832</v>
      </c>
      <c r="N327" s="1"/>
    </row>
    <row r="328" spans="1:14" x14ac:dyDescent="0.3">
      <c r="A328" t="s">
        <v>50</v>
      </c>
      <c r="B328">
        <v>511.05</v>
      </c>
      <c r="C328">
        <v>0.19</v>
      </c>
      <c r="D328">
        <v>1.6579999999999999</v>
      </c>
      <c r="E328">
        <v>0.6</v>
      </c>
      <c r="F328">
        <v>313</v>
      </c>
      <c r="G328">
        <v>3.3333333333333299</v>
      </c>
      <c r="H328">
        <v>50</v>
      </c>
      <c r="J328">
        <v>6.4102396879999999</v>
      </c>
      <c r="K328">
        <v>72.649600516451201</v>
      </c>
      <c r="L328">
        <v>72.649600520000007</v>
      </c>
      <c r="M328">
        <v>0.99999999995115174</v>
      </c>
      <c r="N328" s="1"/>
    </row>
    <row r="329" spans="1:14" x14ac:dyDescent="0.3">
      <c r="A329" t="s">
        <v>50</v>
      </c>
      <c r="B329">
        <v>511.05</v>
      </c>
      <c r="C329">
        <v>0.19</v>
      </c>
      <c r="D329">
        <v>1.6579999999999999</v>
      </c>
      <c r="E329">
        <v>0.1</v>
      </c>
      <c r="F329">
        <v>313</v>
      </c>
      <c r="G329">
        <v>3.3333333333333299</v>
      </c>
      <c r="H329">
        <v>50</v>
      </c>
      <c r="J329">
        <v>23.22580687</v>
      </c>
      <c r="K329">
        <v>267.74193126626801</v>
      </c>
      <c r="L329">
        <v>267.74193129999998</v>
      </c>
      <c r="M329">
        <v>0.99999999987401311</v>
      </c>
      <c r="N329" s="1"/>
    </row>
    <row r="330" spans="1:14" x14ac:dyDescent="0.3">
      <c r="A330" t="s">
        <v>50</v>
      </c>
      <c r="B330">
        <v>511.05</v>
      </c>
      <c r="C330">
        <v>0.19</v>
      </c>
      <c r="D330">
        <v>1.6579999999999999</v>
      </c>
      <c r="E330">
        <v>0.2</v>
      </c>
      <c r="F330">
        <v>313</v>
      </c>
      <c r="G330">
        <v>3.3333333333333299</v>
      </c>
      <c r="H330">
        <v>50</v>
      </c>
      <c r="J330">
        <v>4.5967738999999996</v>
      </c>
      <c r="K330">
        <v>227.01613049756401</v>
      </c>
      <c r="L330">
        <v>227.01613049999997</v>
      </c>
      <c r="M330">
        <v>0.99999999998926958</v>
      </c>
      <c r="N330" s="1"/>
    </row>
    <row r="331" spans="1:14" x14ac:dyDescent="0.3">
      <c r="A331" t="s">
        <v>50</v>
      </c>
      <c r="B331">
        <v>511.05</v>
      </c>
      <c r="C331">
        <v>0.19</v>
      </c>
      <c r="D331">
        <v>1.6579999999999999</v>
      </c>
      <c r="E331">
        <v>0.3</v>
      </c>
      <c r="F331">
        <v>313</v>
      </c>
      <c r="G331">
        <v>3.3333333333333299</v>
      </c>
      <c r="H331">
        <v>50</v>
      </c>
      <c r="J331">
        <v>0.70967902000000005</v>
      </c>
      <c r="K331">
        <v>170.96773660145701</v>
      </c>
      <c r="L331">
        <v>164.30106993333334</v>
      </c>
      <c r="M331">
        <v>1.0405759175568894</v>
      </c>
      <c r="N331" s="1"/>
    </row>
    <row r="332" spans="1:14" x14ac:dyDescent="0.3">
      <c r="A332" t="s">
        <v>50</v>
      </c>
      <c r="B332">
        <v>511.05</v>
      </c>
      <c r="C332">
        <v>0.19</v>
      </c>
      <c r="D332">
        <v>1.6579999999999999</v>
      </c>
      <c r="E332">
        <v>0.4</v>
      </c>
      <c r="F332">
        <v>313</v>
      </c>
      <c r="G332">
        <v>3.3333333333333299</v>
      </c>
      <c r="H332">
        <v>50</v>
      </c>
      <c r="J332">
        <v>3.2271479999999998E-2</v>
      </c>
      <c r="K332">
        <v>127.419321314973</v>
      </c>
      <c r="L332">
        <v>124.91932129999999</v>
      </c>
      <c r="M332">
        <v>1.0200129170488297</v>
      </c>
      <c r="N332" s="1"/>
    </row>
    <row r="333" spans="1:14" x14ac:dyDescent="0.3">
      <c r="A333" t="s">
        <v>50</v>
      </c>
      <c r="B333">
        <v>511.05</v>
      </c>
      <c r="C333">
        <v>0.19</v>
      </c>
      <c r="D333">
        <v>1.6579999999999999</v>
      </c>
      <c r="E333">
        <v>0.5</v>
      </c>
      <c r="F333">
        <v>313</v>
      </c>
      <c r="G333">
        <v>3.3333333333333299</v>
      </c>
      <c r="H333">
        <v>50</v>
      </c>
      <c r="J333">
        <v>0.79839015000000002</v>
      </c>
      <c r="K333">
        <v>100.403219658365</v>
      </c>
      <c r="L333">
        <v>98.403219699999994</v>
      </c>
      <c r="M333">
        <v>1.0203245377992953</v>
      </c>
      <c r="N333" s="1"/>
    </row>
    <row r="334" spans="1:14" x14ac:dyDescent="0.3">
      <c r="A334" t="s">
        <v>50</v>
      </c>
      <c r="B334">
        <v>511.05</v>
      </c>
      <c r="C334">
        <v>0.19</v>
      </c>
      <c r="D334">
        <v>1.6579999999999999</v>
      </c>
      <c r="E334">
        <v>0.6</v>
      </c>
      <c r="F334">
        <v>313</v>
      </c>
      <c r="G334">
        <v>3.3333333333333299</v>
      </c>
      <c r="H334">
        <v>50</v>
      </c>
      <c r="J334">
        <v>0.70967382999999995</v>
      </c>
      <c r="K334">
        <v>85.483876953015894</v>
      </c>
      <c r="L334">
        <v>82.150543616666667</v>
      </c>
      <c r="M334">
        <v>1.0405759133123127</v>
      </c>
      <c r="N334" s="1"/>
    </row>
    <row r="335" spans="1:14" x14ac:dyDescent="0.3">
      <c r="A335" t="s">
        <v>50</v>
      </c>
      <c r="B335">
        <v>511.05</v>
      </c>
      <c r="C335">
        <v>0.19</v>
      </c>
      <c r="D335">
        <v>1.6579999999999999</v>
      </c>
      <c r="E335">
        <v>0.5</v>
      </c>
      <c r="F335">
        <v>313</v>
      </c>
      <c r="G335">
        <v>3.3333333333333299</v>
      </c>
      <c r="H335">
        <v>25</v>
      </c>
      <c r="J335">
        <v>0.50603564999999995</v>
      </c>
      <c r="K335">
        <v>48.987928704784402</v>
      </c>
      <c r="L335">
        <v>48.987928699999998</v>
      </c>
      <c r="M335">
        <v>1.000000000097665</v>
      </c>
      <c r="N335" s="1"/>
    </row>
    <row r="336" spans="1:14" x14ac:dyDescent="0.3">
      <c r="A336" t="s">
        <v>50</v>
      </c>
      <c r="B336">
        <v>511.05</v>
      </c>
      <c r="C336">
        <v>0.19</v>
      </c>
      <c r="D336">
        <v>1.6579999999999999</v>
      </c>
      <c r="E336">
        <v>0.5</v>
      </c>
      <c r="F336">
        <v>313</v>
      </c>
      <c r="G336">
        <v>3.3333333333333299</v>
      </c>
      <c r="H336">
        <v>50</v>
      </c>
      <c r="J336">
        <v>2.8339799349999999</v>
      </c>
      <c r="K336">
        <v>94.332040126671799</v>
      </c>
      <c r="L336">
        <v>94.332040129999996</v>
      </c>
      <c r="M336">
        <v>0.99999999996471833</v>
      </c>
      <c r="N336" s="1"/>
    </row>
    <row r="337" spans="1:14" x14ac:dyDescent="0.3">
      <c r="A337" t="s">
        <v>50</v>
      </c>
      <c r="B337">
        <v>511.05</v>
      </c>
      <c r="C337">
        <v>0.19</v>
      </c>
      <c r="D337">
        <v>1.6579999999999999</v>
      </c>
      <c r="E337">
        <v>0.5</v>
      </c>
      <c r="F337">
        <v>313</v>
      </c>
      <c r="G337">
        <v>3.3333333333333299</v>
      </c>
      <c r="H337">
        <v>100</v>
      </c>
      <c r="J337">
        <v>10.323863899999999</v>
      </c>
      <c r="K337">
        <v>179.35227220888501</v>
      </c>
      <c r="L337">
        <v>179.35227220000002</v>
      </c>
      <c r="M337">
        <v>1.0000000000495393</v>
      </c>
      <c r="N337" s="1"/>
    </row>
    <row r="338" spans="1:14" x14ac:dyDescent="0.3">
      <c r="A338" t="s">
        <v>50</v>
      </c>
      <c r="B338">
        <v>511.05</v>
      </c>
      <c r="C338">
        <v>0.19</v>
      </c>
      <c r="D338">
        <v>1.6579999999999999</v>
      </c>
      <c r="E338">
        <v>0.5</v>
      </c>
      <c r="F338">
        <v>313</v>
      </c>
      <c r="G338">
        <v>3.3333333333333299</v>
      </c>
      <c r="H338">
        <v>150</v>
      </c>
      <c r="J338">
        <v>58.299572650000002</v>
      </c>
      <c r="K338">
        <v>183.40085468899099</v>
      </c>
      <c r="L338">
        <v>183.4008547</v>
      </c>
      <c r="M338">
        <v>0.99999999993997302</v>
      </c>
      <c r="N338" s="1"/>
    </row>
    <row r="339" spans="1:14" x14ac:dyDescent="0.3">
      <c r="A339" t="s">
        <v>50</v>
      </c>
      <c r="B339">
        <v>511.05</v>
      </c>
      <c r="C339">
        <v>0.19</v>
      </c>
      <c r="D339">
        <v>1.6579999999999999</v>
      </c>
      <c r="E339">
        <v>0.5</v>
      </c>
      <c r="F339">
        <v>313</v>
      </c>
      <c r="G339">
        <v>3.3333333333333299</v>
      </c>
      <c r="H339">
        <v>200</v>
      </c>
      <c r="J339">
        <v>21.659901399999999</v>
      </c>
      <c r="K339">
        <v>356.68019719279602</v>
      </c>
      <c r="L339">
        <v>356.68019720000001</v>
      </c>
      <c r="M339">
        <v>0.9999999999798026</v>
      </c>
      <c r="N339" s="1"/>
    </row>
    <row r="340" spans="1:14" x14ac:dyDescent="0.3">
      <c r="A340" t="s">
        <v>50</v>
      </c>
      <c r="B340">
        <v>511.05</v>
      </c>
      <c r="C340">
        <v>0.19</v>
      </c>
      <c r="D340">
        <v>1.6579999999999999</v>
      </c>
      <c r="E340">
        <v>0.5</v>
      </c>
      <c r="F340">
        <v>313</v>
      </c>
      <c r="G340">
        <v>3.3333333333333299</v>
      </c>
      <c r="H340">
        <v>250</v>
      </c>
      <c r="J340">
        <v>46.153834850000003</v>
      </c>
      <c r="K340">
        <v>407.69233026447802</v>
      </c>
      <c r="L340">
        <v>407.69233029999998</v>
      </c>
      <c r="M340">
        <v>0.9999999999128707</v>
      </c>
      <c r="N340" s="1"/>
    </row>
    <row r="341" spans="1:14" x14ac:dyDescent="0.3">
      <c r="A341" t="s">
        <v>50</v>
      </c>
      <c r="B341">
        <v>511.05</v>
      </c>
      <c r="C341">
        <v>0.19</v>
      </c>
      <c r="D341">
        <v>1.649</v>
      </c>
      <c r="E341">
        <v>0.4</v>
      </c>
      <c r="F341">
        <v>313</v>
      </c>
      <c r="G341">
        <v>5</v>
      </c>
      <c r="H341">
        <v>100</v>
      </c>
      <c r="I341">
        <v>3</v>
      </c>
      <c r="J341">
        <v>0.88549412000000005</v>
      </c>
      <c r="K341">
        <v>247.786264710197</v>
      </c>
      <c r="L341">
        <v>247.78626469999998</v>
      </c>
      <c r="M341">
        <v>1.0000000000411524</v>
      </c>
      <c r="N341" s="1"/>
    </row>
    <row r="342" spans="1:14" x14ac:dyDescent="0.3">
      <c r="A342" t="s">
        <v>50</v>
      </c>
      <c r="B342">
        <v>511.05</v>
      </c>
      <c r="C342">
        <v>0.19</v>
      </c>
      <c r="D342">
        <v>1.649</v>
      </c>
      <c r="E342">
        <v>0.4</v>
      </c>
      <c r="F342">
        <v>313</v>
      </c>
      <c r="G342">
        <v>5</v>
      </c>
      <c r="H342">
        <v>100</v>
      </c>
      <c r="I342">
        <v>4</v>
      </c>
      <c r="J342">
        <v>0.35877579999999998</v>
      </c>
      <c r="K342">
        <v>271.603060537239</v>
      </c>
      <c r="L342">
        <v>249.10306049999997</v>
      </c>
      <c r="M342">
        <v>1.0903240610214784</v>
      </c>
      <c r="N342" s="1"/>
    </row>
    <row r="343" spans="1:14" x14ac:dyDescent="0.3">
      <c r="A343" t="s">
        <v>50</v>
      </c>
      <c r="B343">
        <v>511.05</v>
      </c>
      <c r="C343">
        <v>0.19</v>
      </c>
      <c r="D343">
        <v>1.649</v>
      </c>
      <c r="E343">
        <v>0.4</v>
      </c>
      <c r="F343">
        <v>313</v>
      </c>
      <c r="G343">
        <v>5</v>
      </c>
      <c r="H343">
        <v>100</v>
      </c>
      <c r="I343">
        <v>5</v>
      </c>
      <c r="J343">
        <v>0.85495863999999999</v>
      </c>
      <c r="K343">
        <v>257.86260342224102</v>
      </c>
      <c r="L343">
        <v>247.86260339999998</v>
      </c>
      <c r="M343">
        <v>1.0403449325758234</v>
      </c>
      <c r="N343" s="1"/>
    </row>
    <row r="344" spans="1:14" x14ac:dyDescent="0.3">
      <c r="A344" t="s">
        <v>50</v>
      </c>
      <c r="B344">
        <v>511.05</v>
      </c>
      <c r="C344">
        <v>0.19</v>
      </c>
      <c r="D344">
        <v>1.649</v>
      </c>
      <c r="E344">
        <v>0.4</v>
      </c>
      <c r="F344">
        <v>313</v>
      </c>
      <c r="G344">
        <v>5</v>
      </c>
      <c r="H344">
        <v>100</v>
      </c>
      <c r="I344">
        <v>6</v>
      </c>
      <c r="J344">
        <v>0.15267043999999999</v>
      </c>
      <c r="K344">
        <v>249.618323911674</v>
      </c>
      <c r="L344">
        <v>249.61832390000001</v>
      </c>
      <c r="M344">
        <v>1.0000000000467673</v>
      </c>
      <c r="N344" s="1"/>
    </row>
    <row r="345" spans="1:14" x14ac:dyDescent="0.3">
      <c r="A345" t="s">
        <v>50</v>
      </c>
      <c r="B345">
        <v>511.05</v>
      </c>
      <c r="C345">
        <v>0.19</v>
      </c>
      <c r="D345">
        <v>1.649</v>
      </c>
      <c r="E345">
        <v>0.4</v>
      </c>
      <c r="F345">
        <v>313</v>
      </c>
      <c r="G345">
        <v>5</v>
      </c>
      <c r="H345">
        <v>100</v>
      </c>
      <c r="I345">
        <v>7</v>
      </c>
      <c r="J345">
        <v>2.3511414799999999</v>
      </c>
      <c r="K345">
        <v>244.12214630724401</v>
      </c>
      <c r="L345">
        <v>244.1221463</v>
      </c>
      <c r="M345">
        <v>1.0000000000296738</v>
      </c>
      <c r="N345" s="1"/>
    </row>
    <row r="346" spans="1:14" x14ac:dyDescent="0.3">
      <c r="A346" t="s">
        <v>50</v>
      </c>
      <c r="B346">
        <v>511.05</v>
      </c>
      <c r="C346">
        <v>0.19</v>
      </c>
      <c r="D346">
        <v>1.649</v>
      </c>
      <c r="E346">
        <v>0.4</v>
      </c>
      <c r="F346">
        <v>313</v>
      </c>
      <c r="G346">
        <v>5</v>
      </c>
      <c r="H346">
        <v>100</v>
      </c>
      <c r="I346">
        <v>8</v>
      </c>
      <c r="J346">
        <v>0.1068672</v>
      </c>
      <c r="K346">
        <v>264.73283197974001</v>
      </c>
      <c r="L346">
        <v>249.732832</v>
      </c>
      <c r="M346">
        <v>1.0600641888357716</v>
      </c>
      <c r="N346" s="1"/>
    </row>
    <row r="347" spans="1:14" x14ac:dyDescent="0.3">
      <c r="A347" t="s">
        <v>50</v>
      </c>
      <c r="B347">
        <v>511.05</v>
      </c>
      <c r="C347">
        <v>0.19</v>
      </c>
      <c r="D347">
        <v>1.649</v>
      </c>
      <c r="E347">
        <v>0.4</v>
      </c>
      <c r="F347">
        <v>313</v>
      </c>
      <c r="G347">
        <v>5</v>
      </c>
      <c r="H347">
        <v>100</v>
      </c>
      <c r="I347">
        <v>9</v>
      </c>
      <c r="J347">
        <v>0.13740268</v>
      </c>
      <c r="K347">
        <v>254.65649326769599</v>
      </c>
      <c r="L347">
        <v>249.65649329999999</v>
      </c>
      <c r="M347">
        <v>1.0200275182175524</v>
      </c>
      <c r="N347" s="1"/>
    </row>
    <row r="348" spans="1:14" x14ac:dyDescent="0.3">
      <c r="A348" t="s">
        <v>50</v>
      </c>
      <c r="B348">
        <v>511.05</v>
      </c>
      <c r="C348">
        <v>0.19</v>
      </c>
      <c r="D348">
        <v>1.649</v>
      </c>
      <c r="E348">
        <v>0.4</v>
      </c>
      <c r="F348">
        <v>313</v>
      </c>
      <c r="G348">
        <v>5</v>
      </c>
      <c r="H348">
        <v>100</v>
      </c>
      <c r="I348">
        <v>10</v>
      </c>
      <c r="J348">
        <v>3.2671719600000002</v>
      </c>
      <c r="K348">
        <v>241.83207012141099</v>
      </c>
      <c r="L348">
        <v>241.83207009999998</v>
      </c>
      <c r="M348">
        <v>1.0000000000885367</v>
      </c>
      <c r="N348" s="1"/>
    </row>
    <row r="349" spans="1:14" x14ac:dyDescent="0.3">
      <c r="A349" t="s">
        <v>50</v>
      </c>
      <c r="B349">
        <v>511.05</v>
      </c>
      <c r="C349">
        <v>0.19</v>
      </c>
      <c r="D349">
        <v>1.649</v>
      </c>
      <c r="E349">
        <v>0.4</v>
      </c>
      <c r="F349">
        <v>313</v>
      </c>
      <c r="G349">
        <v>5</v>
      </c>
      <c r="H349">
        <v>100</v>
      </c>
      <c r="I349">
        <v>11</v>
      </c>
      <c r="J349">
        <v>10.778626040000001</v>
      </c>
      <c r="K349">
        <v>223.05343491444299</v>
      </c>
      <c r="L349">
        <v>223.05343489999998</v>
      </c>
      <c r="M349">
        <v>1.0000000000647513</v>
      </c>
      <c r="N349" s="1"/>
    </row>
    <row r="350" spans="1:14" x14ac:dyDescent="0.3">
      <c r="A350" t="s">
        <v>50</v>
      </c>
      <c r="B350">
        <v>511.05</v>
      </c>
      <c r="C350">
        <v>0.19</v>
      </c>
      <c r="D350">
        <v>1.649</v>
      </c>
      <c r="E350">
        <v>0.4</v>
      </c>
      <c r="F350">
        <v>313</v>
      </c>
      <c r="G350">
        <v>5</v>
      </c>
      <c r="H350">
        <v>100</v>
      </c>
      <c r="I350">
        <v>12</v>
      </c>
      <c r="J350">
        <v>67.022891568000006</v>
      </c>
      <c r="K350">
        <v>82.442771081815593</v>
      </c>
      <c r="L350">
        <v>82.442771079999986</v>
      </c>
      <c r="M350">
        <v>1.0000000000220226</v>
      </c>
      <c r="N350" s="1"/>
    </row>
    <row r="351" spans="1:14" x14ac:dyDescent="0.3">
      <c r="A351" t="s">
        <v>50</v>
      </c>
      <c r="B351">
        <v>511.05</v>
      </c>
      <c r="C351">
        <v>0.19</v>
      </c>
      <c r="D351">
        <v>1.649</v>
      </c>
      <c r="E351">
        <v>0.6</v>
      </c>
      <c r="F351">
        <v>298</v>
      </c>
      <c r="G351">
        <v>15</v>
      </c>
      <c r="H351">
        <v>100</v>
      </c>
      <c r="I351">
        <v>3</v>
      </c>
      <c r="J351">
        <v>45.937284988000002</v>
      </c>
      <c r="K351">
        <v>90.104525024861104</v>
      </c>
      <c r="L351">
        <v>90.104525019999997</v>
      </c>
      <c r="M351">
        <v>1.0000000000539497</v>
      </c>
      <c r="N351" s="1"/>
    </row>
    <row r="352" spans="1:14" x14ac:dyDescent="0.3">
      <c r="A352" t="s">
        <v>50</v>
      </c>
      <c r="B352">
        <v>511.05</v>
      </c>
      <c r="C352">
        <v>0.19</v>
      </c>
      <c r="D352">
        <v>1.649</v>
      </c>
      <c r="E352">
        <v>0.6</v>
      </c>
      <c r="F352">
        <v>298</v>
      </c>
      <c r="G352">
        <v>15</v>
      </c>
      <c r="H352">
        <v>100</v>
      </c>
      <c r="I352">
        <v>4</v>
      </c>
      <c r="J352">
        <v>34.146340600000002</v>
      </c>
      <c r="K352">
        <v>109.756098971184</v>
      </c>
      <c r="L352">
        <v>109.75609900000001</v>
      </c>
      <c r="M352">
        <v>0.99999999973745424</v>
      </c>
      <c r="N352" s="1"/>
    </row>
    <row r="353" spans="1:14" x14ac:dyDescent="0.3">
      <c r="A353" t="s">
        <v>50</v>
      </c>
      <c r="B353">
        <v>511.05</v>
      </c>
      <c r="C353">
        <v>0.19</v>
      </c>
      <c r="D353">
        <v>1.649</v>
      </c>
      <c r="E353">
        <v>0.6</v>
      </c>
      <c r="F353">
        <v>298</v>
      </c>
      <c r="G353">
        <v>15</v>
      </c>
      <c r="H353">
        <v>100</v>
      </c>
      <c r="I353">
        <v>5</v>
      </c>
      <c r="J353">
        <v>37.407664959999998</v>
      </c>
      <c r="K353">
        <v>104.32055842911301</v>
      </c>
      <c r="L353">
        <v>104.32055840000001</v>
      </c>
      <c r="M353">
        <v>1.0000000002790725</v>
      </c>
      <c r="N353" s="1"/>
    </row>
    <row r="354" spans="1:14" x14ac:dyDescent="0.3">
      <c r="A354" t="s">
        <v>50</v>
      </c>
      <c r="B354">
        <v>511.05</v>
      </c>
      <c r="C354">
        <v>0.19</v>
      </c>
      <c r="D354">
        <v>1.649</v>
      </c>
      <c r="E354">
        <v>0.6</v>
      </c>
      <c r="F354">
        <v>298</v>
      </c>
      <c r="G354">
        <v>15</v>
      </c>
      <c r="H354">
        <v>100</v>
      </c>
      <c r="I354">
        <v>6</v>
      </c>
      <c r="J354">
        <v>37.533100959999999</v>
      </c>
      <c r="K354">
        <v>104.11149841066999</v>
      </c>
      <c r="L354">
        <v>104.1114984</v>
      </c>
      <c r="M354">
        <v>1.0000000001024862</v>
      </c>
      <c r="N354" s="1"/>
    </row>
    <row r="355" spans="1:14" x14ac:dyDescent="0.3">
      <c r="A355" t="s">
        <v>50</v>
      </c>
      <c r="B355">
        <v>511.05</v>
      </c>
      <c r="C355">
        <v>0.19</v>
      </c>
      <c r="D355">
        <v>1.649</v>
      </c>
      <c r="E355">
        <v>0.6</v>
      </c>
      <c r="F355">
        <v>298</v>
      </c>
      <c r="G355">
        <v>15</v>
      </c>
      <c r="H355">
        <v>100</v>
      </c>
      <c r="I355">
        <v>7</v>
      </c>
      <c r="J355">
        <v>35.400695919999997</v>
      </c>
      <c r="K355">
        <v>107.665506761733</v>
      </c>
      <c r="L355">
        <v>107.6655068</v>
      </c>
      <c r="M355">
        <v>0.99999999964457509</v>
      </c>
      <c r="N355" s="1"/>
    </row>
    <row r="356" spans="1:14" x14ac:dyDescent="0.3">
      <c r="A356" t="s">
        <v>50</v>
      </c>
      <c r="B356">
        <v>511.05</v>
      </c>
      <c r="C356">
        <v>0.19</v>
      </c>
      <c r="D356">
        <v>1.649</v>
      </c>
      <c r="E356">
        <v>0.6</v>
      </c>
      <c r="F356">
        <v>298</v>
      </c>
      <c r="G356">
        <v>15</v>
      </c>
      <c r="H356">
        <v>100</v>
      </c>
      <c r="I356">
        <v>8</v>
      </c>
      <c r="J356">
        <v>36.404179239999998</v>
      </c>
      <c r="K356">
        <v>105.993034589167</v>
      </c>
      <c r="L356">
        <v>105.9930346</v>
      </c>
      <c r="M356">
        <v>0.99999999989779509</v>
      </c>
      <c r="N356" s="1"/>
    </row>
    <row r="357" spans="1:14" x14ac:dyDescent="0.3">
      <c r="A357" t="s">
        <v>50</v>
      </c>
      <c r="B357">
        <v>511.05</v>
      </c>
      <c r="C357">
        <v>0.19</v>
      </c>
      <c r="D357">
        <v>1.649</v>
      </c>
      <c r="E357">
        <v>0.6</v>
      </c>
      <c r="F357">
        <v>298</v>
      </c>
      <c r="G357">
        <v>15</v>
      </c>
      <c r="H357">
        <v>100</v>
      </c>
      <c r="I357">
        <v>9</v>
      </c>
      <c r="J357">
        <v>33.644598940000002</v>
      </c>
      <c r="K357">
        <v>110.592335057467</v>
      </c>
      <c r="L357">
        <v>110.59233509999999</v>
      </c>
      <c r="M357">
        <v>0.99999999961540742</v>
      </c>
      <c r="N357" s="1"/>
    </row>
    <row r="358" spans="1:14" x14ac:dyDescent="0.3">
      <c r="A358" t="s">
        <v>50</v>
      </c>
      <c r="B358">
        <v>511.05</v>
      </c>
      <c r="C358">
        <v>0.19</v>
      </c>
      <c r="D358">
        <v>1.649</v>
      </c>
      <c r="E358">
        <v>0.6</v>
      </c>
      <c r="F358">
        <v>298</v>
      </c>
      <c r="G358">
        <v>15</v>
      </c>
      <c r="H358">
        <v>100</v>
      </c>
      <c r="I358">
        <v>10</v>
      </c>
      <c r="J358">
        <v>34.773518260000003</v>
      </c>
      <c r="K358">
        <v>108.71080286645901</v>
      </c>
      <c r="L358">
        <v>108.7108029</v>
      </c>
      <c r="M358">
        <v>0.9999999996914658</v>
      </c>
      <c r="N358" s="1"/>
    </row>
    <row r="359" spans="1:14" x14ac:dyDescent="0.3">
      <c r="A359" t="s">
        <v>50</v>
      </c>
      <c r="B359">
        <v>511.05</v>
      </c>
      <c r="C359">
        <v>0.19</v>
      </c>
      <c r="D359">
        <v>1.649</v>
      </c>
      <c r="E359">
        <v>0.6</v>
      </c>
      <c r="F359">
        <v>298</v>
      </c>
      <c r="G359">
        <v>15</v>
      </c>
      <c r="H359">
        <v>100</v>
      </c>
      <c r="I359">
        <v>11</v>
      </c>
      <c r="J359">
        <v>35.651567980000003</v>
      </c>
      <c r="K359">
        <v>107.247386724847</v>
      </c>
      <c r="L359">
        <v>107.24738669999999</v>
      </c>
      <c r="M359">
        <v>1.0000000002316793</v>
      </c>
      <c r="N359" s="1"/>
    </row>
    <row r="360" spans="1:14" x14ac:dyDescent="0.3">
      <c r="A360" t="s">
        <v>50</v>
      </c>
      <c r="B360">
        <v>511.05</v>
      </c>
      <c r="C360">
        <v>0.19</v>
      </c>
      <c r="D360">
        <v>1.649</v>
      </c>
      <c r="E360">
        <v>0.6</v>
      </c>
      <c r="F360">
        <v>298</v>
      </c>
      <c r="G360">
        <v>15</v>
      </c>
      <c r="H360">
        <v>100</v>
      </c>
      <c r="I360">
        <v>12</v>
      </c>
      <c r="J360">
        <v>89.212536544000002</v>
      </c>
      <c r="K360">
        <v>17.979105761245801</v>
      </c>
      <c r="L360">
        <v>17.979105759999996</v>
      </c>
      <c r="M360">
        <v>1.0000000000692919</v>
      </c>
      <c r="N360" s="1"/>
    </row>
    <row r="361" spans="1:14" x14ac:dyDescent="0.3">
      <c r="A361" t="s">
        <v>52</v>
      </c>
      <c r="B361">
        <v>103.94</v>
      </c>
      <c r="C361">
        <v>0.54010000000000002</v>
      </c>
      <c r="D361">
        <v>20.79</v>
      </c>
      <c r="E361">
        <v>3.0209806193125601E-2</v>
      </c>
      <c r="F361">
        <v>298</v>
      </c>
      <c r="G361">
        <v>1</v>
      </c>
      <c r="H361">
        <v>50</v>
      </c>
      <c r="I361">
        <v>6.4</v>
      </c>
      <c r="J361">
        <v>10.25000004</v>
      </c>
      <c r="K361">
        <v>1315.78945481451</v>
      </c>
      <c r="L361">
        <v>1315.7979136273082</v>
      </c>
      <c r="M361">
        <v>0.99999357134350908</v>
      </c>
      <c r="N361" s="1" t="s">
        <v>55</v>
      </c>
    </row>
    <row r="362" spans="1:14" x14ac:dyDescent="0.3">
      <c r="A362" t="s">
        <v>52</v>
      </c>
      <c r="B362">
        <v>103.94</v>
      </c>
      <c r="C362">
        <v>0.54010000000000002</v>
      </c>
      <c r="D362">
        <v>20.79</v>
      </c>
      <c r="E362">
        <v>8.3077087074003603E-2</v>
      </c>
      <c r="F362">
        <v>298</v>
      </c>
      <c r="G362">
        <v>1</v>
      </c>
      <c r="H362">
        <v>50</v>
      </c>
      <c r="I362">
        <v>6.4</v>
      </c>
      <c r="J362">
        <v>4.0833333600000001</v>
      </c>
      <c r="K362">
        <v>552.63157102209698</v>
      </c>
      <c r="L362">
        <v>552.69952591258095</v>
      </c>
      <c r="M362">
        <v>0.99987704912470876</v>
      </c>
      <c r="N362" s="1"/>
    </row>
    <row r="363" spans="1:14" x14ac:dyDescent="0.3">
      <c r="A363" t="s">
        <v>52</v>
      </c>
      <c r="B363">
        <v>103.94</v>
      </c>
      <c r="C363">
        <v>0.54010000000000002</v>
      </c>
      <c r="D363">
        <v>20.79</v>
      </c>
      <c r="E363">
        <v>0.16615379001070099</v>
      </c>
      <c r="F363">
        <v>298</v>
      </c>
      <c r="G363">
        <v>1</v>
      </c>
      <c r="H363">
        <v>50</v>
      </c>
      <c r="I363">
        <v>6.4</v>
      </c>
      <c r="J363">
        <v>1.9047619600000001</v>
      </c>
      <c r="K363">
        <v>289.47368005919299</v>
      </c>
      <c r="L363">
        <v>289.46217860514929</v>
      </c>
      <c r="M363">
        <v>1.0000397338750753</v>
      </c>
      <c r="N363" s="1"/>
    </row>
    <row r="364" spans="1:14" x14ac:dyDescent="0.3">
      <c r="A364" t="s">
        <v>52</v>
      </c>
      <c r="B364">
        <v>103.94</v>
      </c>
      <c r="C364">
        <v>0.54010000000000002</v>
      </c>
      <c r="D364">
        <v>20.79</v>
      </c>
      <c r="E364">
        <v>0.33482521592518</v>
      </c>
      <c r="F364">
        <v>298</v>
      </c>
      <c r="G364">
        <v>1</v>
      </c>
      <c r="H364">
        <v>50</v>
      </c>
      <c r="I364">
        <v>6.4</v>
      </c>
      <c r="J364">
        <v>9.5237929999999998E-2</v>
      </c>
      <c r="K364">
        <v>149.63155668113001</v>
      </c>
      <c r="L364">
        <v>149.04720342553802</v>
      </c>
      <c r="M364">
        <v>1.0039205918807053</v>
      </c>
      <c r="N364" s="1"/>
    </row>
    <row r="365" spans="1:14" x14ac:dyDescent="0.3">
      <c r="A365" t="s">
        <v>52</v>
      </c>
      <c r="B365">
        <v>103.94</v>
      </c>
      <c r="C365">
        <v>0.54010000000000002</v>
      </c>
      <c r="D365">
        <v>20.79</v>
      </c>
      <c r="E365">
        <v>0.99692293213286098</v>
      </c>
      <c r="F365">
        <v>298</v>
      </c>
      <c r="G365">
        <v>1</v>
      </c>
      <c r="H365">
        <v>50</v>
      </c>
      <c r="I365">
        <v>6.4</v>
      </c>
      <c r="J365">
        <v>0.15384622000000001</v>
      </c>
      <c r="K365">
        <v>50.000039437659197</v>
      </c>
      <c r="L365">
        <v>50.000007195497986</v>
      </c>
      <c r="M365">
        <v>1.0000006448431313</v>
      </c>
      <c r="N365" s="1"/>
    </row>
    <row r="366" spans="1:14" x14ac:dyDescent="0.3">
      <c r="A366" t="s">
        <v>52</v>
      </c>
      <c r="B366">
        <v>103.94</v>
      </c>
      <c r="C366">
        <v>0.54010000000000002</v>
      </c>
      <c r="D366">
        <v>20.79</v>
      </c>
      <c r="E366">
        <v>1.66657317191456</v>
      </c>
      <c r="F366">
        <v>298</v>
      </c>
      <c r="G366">
        <v>1</v>
      </c>
      <c r="H366">
        <v>50</v>
      </c>
      <c r="I366">
        <v>6.4</v>
      </c>
      <c r="J366">
        <v>1.7543860499999999</v>
      </c>
      <c r="K366">
        <v>28.947327851211998</v>
      </c>
      <c r="L366">
        <v>28.948992317316268</v>
      </c>
      <c r="M366">
        <v>0.9999425034873054</v>
      </c>
      <c r="N366" s="1"/>
    </row>
    <row r="367" spans="1:14" x14ac:dyDescent="0.3">
      <c r="A367" t="s">
        <v>52</v>
      </c>
      <c r="B367">
        <v>103.94</v>
      </c>
      <c r="C367">
        <v>0.54010000000000002</v>
      </c>
      <c r="D367">
        <v>20.79</v>
      </c>
      <c r="E367">
        <v>8.3299999999999999E-2</v>
      </c>
      <c r="F367">
        <v>298</v>
      </c>
      <c r="G367">
        <v>1</v>
      </c>
      <c r="H367">
        <v>50</v>
      </c>
      <c r="I367">
        <v>3.02068975822819</v>
      </c>
      <c r="J367">
        <v>2.1410000500000002</v>
      </c>
      <c r="K367">
        <v>574.53589609045798</v>
      </c>
      <c r="L367">
        <v>574.53781452581029</v>
      </c>
      <c r="M367">
        <v>0.99999666090672568</v>
      </c>
      <c r="N367" s="1"/>
    </row>
    <row r="368" spans="1:14" x14ac:dyDescent="0.3">
      <c r="A368" t="s">
        <v>52</v>
      </c>
      <c r="B368">
        <v>103.94</v>
      </c>
      <c r="C368">
        <v>0.54010000000000002</v>
      </c>
      <c r="D368">
        <v>20.79</v>
      </c>
      <c r="E368">
        <v>8.3299999999999999E-2</v>
      </c>
      <c r="F368">
        <v>298</v>
      </c>
      <c r="G368">
        <v>1</v>
      </c>
      <c r="H368">
        <v>50</v>
      </c>
      <c r="I368">
        <v>4.4827583594214699</v>
      </c>
      <c r="J368">
        <v>2.9930000400000001</v>
      </c>
      <c r="K368">
        <v>564.30822965939296</v>
      </c>
      <c r="L368">
        <v>564.30972340936376</v>
      </c>
      <c r="M368">
        <v>0.99999735296077874</v>
      </c>
      <c r="N368" s="1"/>
    </row>
    <row r="369" spans="1:14" x14ac:dyDescent="0.3">
      <c r="A369" t="s">
        <v>52</v>
      </c>
      <c r="B369">
        <v>103.94</v>
      </c>
      <c r="C369">
        <v>0.54010000000000002</v>
      </c>
      <c r="D369">
        <v>20.79</v>
      </c>
      <c r="E369">
        <v>8.3299999999999999E-2</v>
      </c>
      <c r="F369">
        <v>298</v>
      </c>
      <c r="G369">
        <v>1</v>
      </c>
      <c r="H369">
        <v>50</v>
      </c>
      <c r="I369">
        <v>5.9999995790679304</v>
      </c>
      <c r="J369">
        <v>3.7840000300000001</v>
      </c>
      <c r="K369">
        <v>554.92118617102801</v>
      </c>
      <c r="L369">
        <v>554.81392521008399</v>
      </c>
      <c r="M369">
        <v>1.0001933278096857</v>
      </c>
      <c r="N369" s="1"/>
    </row>
    <row r="370" spans="1:14" x14ac:dyDescent="0.3">
      <c r="A370" t="s">
        <v>52</v>
      </c>
      <c r="B370">
        <v>103.94</v>
      </c>
      <c r="C370">
        <v>0.54010000000000002</v>
      </c>
      <c r="D370">
        <v>20.79</v>
      </c>
      <c r="E370">
        <v>8.3299999999999999E-2</v>
      </c>
      <c r="F370">
        <v>298</v>
      </c>
      <c r="G370">
        <v>1</v>
      </c>
      <c r="H370">
        <v>50</v>
      </c>
      <c r="I370">
        <v>7.50344790718363</v>
      </c>
      <c r="J370">
        <v>4.4620000199999996</v>
      </c>
      <c r="K370">
        <v>546.79509580275896</v>
      </c>
      <c r="L370">
        <v>546.67466962785113</v>
      </c>
      <c r="M370">
        <v>1.0002202885584397</v>
      </c>
      <c r="N370" s="1"/>
    </row>
    <row r="371" spans="1:14" x14ac:dyDescent="0.3">
      <c r="A371" t="s">
        <v>52</v>
      </c>
      <c r="B371">
        <v>103.94</v>
      </c>
      <c r="C371">
        <v>0.54010000000000002</v>
      </c>
      <c r="D371">
        <v>20.79</v>
      </c>
      <c r="E371">
        <v>8.3299999999999999E-2</v>
      </c>
      <c r="F371">
        <v>298</v>
      </c>
      <c r="G371">
        <v>1</v>
      </c>
      <c r="H371">
        <v>50</v>
      </c>
      <c r="I371">
        <v>8.9931022914384204</v>
      </c>
      <c r="J371">
        <v>5.3150000200000003</v>
      </c>
      <c r="K371">
        <v>536.56742669940195</v>
      </c>
      <c r="L371">
        <v>536.43457358943579</v>
      </c>
      <c r="M371">
        <v>1.0002476594845056</v>
      </c>
      <c r="N371" s="1"/>
    </row>
    <row r="372" spans="1:14" x14ac:dyDescent="0.3">
      <c r="A372" t="s">
        <v>52</v>
      </c>
      <c r="B372">
        <v>103.94</v>
      </c>
      <c r="C372">
        <v>0.54010000000000002</v>
      </c>
      <c r="D372">
        <v>20.79</v>
      </c>
      <c r="E372">
        <v>8.3299999999999999E-2</v>
      </c>
      <c r="F372">
        <v>298</v>
      </c>
      <c r="G372">
        <v>1</v>
      </c>
      <c r="H372">
        <v>50</v>
      </c>
      <c r="I372">
        <v>10.5103435110848</v>
      </c>
      <c r="J372">
        <v>6.4820000200000001</v>
      </c>
      <c r="K372">
        <v>522.55690892492601</v>
      </c>
      <c r="L372">
        <v>522.42496974789913</v>
      </c>
      <c r="M372">
        <v>1.0002525514373681</v>
      </c>
      <c r="N372" s="1"/>
    </row>
    <row r="373" spans="1:14" x14ac:dyDescent="0.3">
      <c r="A373" t="s">
        <v>52</v>
      </c>
      <c r="B373">
        <v>103.94</v>
      </c>
      <c r="C373">
        <v>0.54010000000000002</v>
      </c>
      <c r="D373">
        <v>20.79</v>
      </c>
      <c r="E373">
        <v>8.3299999999999999E-2</v>
      </c>
      <c r="F373">
        <v>298</v>
      </c>
      <c r="G373">
        <v>1</v>
      </c>
      <c r="H373">
        <v>50</v>
      </c>
      <c r="I373">
        <v>11.986206056139</v>
      </c>
      <c r="J373">
        <v>8.1160000199999995</v>
      </c>
      <c r="K373">
        <v>502.94220435007998</v>
      </c>
      <c r="L373">
        <v>502.80912340936374</v>
      </c>
      <c r="M373">
        <v>1.0002646748726711</v>
      </c>
      <c r="N373" s="1"/>
    </row>
    <row r="374" spans="1:14" x14ac:dyDescent="0.3">
      <c r="A374" t="s">
        <v>46</v>
      </c>
      <c r="B374">
        <v>27.23</v>
      </c>
      <c r="C374">
        <v>0.18029999999999999</v>
      </c>
      <c r="D374">
        <v>26.48</v>
      </c>
      <c r="E374">
        <v>8.3299999999999999E-2</v>
      </c>
      <c r="F374">
        <v>298</v>
      </c>
      <c r="H374">
        <v>9.7986224180000008</v>
      </c>
      <c r="J374">
        <v>7.0126224207458296</v>
      </c>
      <c r="K374">
        <v>33.447686470208502</v>
      </c>
      <c r="L374">
        <v>33.44537811829737</v>
      </c>
      <c r="M374">
        <v>1.000069018562235</v>
      </c>
      <c r="N374" s="1"/>
    </row>
    <row r="375" spans="1:14" x14ac:dyDescent="0.3">
      <c r="A375" t="s">
        <v>46</v>
      </c>
      <c r="B375">
        <v>27.23</v>
      </c>
      <c r="C375">
        <v>0.18029999999999999</v>
      </c>
      <c r="D375">
        <v>26.48</v>
      </c>
      <c r="E375">
        <v>8.3299999999999999E-2</v>
      </c>
      <c r="F375">
        <v>298</v>
      </c>
      <c r="H375">
        <v>25.26180759</v>
      </c>
      <c r="J375">
        <v>18.232807593526399</v>
      </c>
      <c r="K375">
        <v>84.391034826176195</v>
      </c>
      <c r="L375">
        <v>84.38175265874672</v>
      </c>
      <c r="M375">
        <v>1.0001100020696063</v>
      </c>
      <c r="N375" s="1"/>
    </row>
    <row r="376" spans="1:14" x14ac:dyDescent="0.3">
      <c r="A376" t="s">
        <v>46</v>
      </c>
      <c r="B376">
        <v>27.23</v>
      </c>
      <c r="C376">
        <v>0.18029999999999999</v>
      </c>
      <c r="D376">
        <v>26.48</v>
      </c>
      <c r="E376">
        <v>8.3299999999999999E-2</v>
      </c>
      <c r="F376">
        <v>298</v>
      </c>
      <c r="H376">
        <v>48.251668690000002</v>
      </c>
      <c r="J376">
        <v>36.465668689116001</v>
      </c>
      <c r="K376">
        <v>141.509423128913</v>
      </c>
      <c r="L376">
        <v>141.48859544878755</v>
      </c>
      <c r="M376">
        <v>1.0001472039499677</v>
      </c>
      <c r="N376" s="1"/>
    </row>
    <row r="377" spans="1:14" x14ac:dyDescent="0.3">
      <c r="A377" t="s">
        <v>46</v>
      </c>
      <c r="B377">
        <v>27.23</v>
      </c>
      <c r="C377">
        <v>0.18029999999999999</v>
      </c>
      <c r="D377">
        <v>26.48</v>
      </c>
      <c r="E377">
        <v>8.3299999999999999E-2</v>
      </c>
      <c r="F377">
        <v>298</v>
      </c>
      <c r="H377">
        <v>102.4514691</v>
      </c>
      <c r="J377">
        <v>84.151469048949394</v>
      </c>
      <c r="K377">
        <v>219.72556523077901</v>
      </c>
      <c r="L377">
        <v>219.6878757629124</v>
      </c>
      <c r="M377">
        <v>1.0001715591619962</v>
      </c>
      <c r="N377" s="1"/>
    </row>
    <row r="378" spans="1:14" x14ac:dyDescent="0.3">
      <c r="A378" t="s">
        <v>46</v>
      </c>
      <c r="B378">
        <v>27.23</v>
      </c>
      <c r="C378">
        <v>0.18029999999999999</v>
      </c>
      <c r="D378">
        <v>26.48</v>
      </c>
      <c r="E378">
        <v>8.3299999999999999E-2</v>
      </c>
      <c r="F378">
        <v>298</v>
      </c>
      <c r="H378">
        <v>198.78806359999999</v>
      </c>
      <c r="J378">
        <v>176.718063601968</v>
      </c>
      <c r="K378">
        <v>265.00856335792901</v>
      </c>
      <c r="L378">
        <v>264.94597836773096</v>
      </c>
      <c r="M378">
        <v>1.0002362179285891</v>
      </c>
      <c r="N378" s="1"/>
    </row>
    <row r="379" spans="1:14" x14ac:dyDescent="0.3">
      <c r="A379" t="s">
        <v>46</v>
      </c>
      <c r="B379">
        <v>27.23</v>
      </c>
      <c r="C379">
        <v>0.18029999999999999</v>
      </c>
      <c r="D379">
        <v>26.48</v>
      </c>
      <c r="E379">
        <v>8.3299999999999999E-2</v>
      </c>
      <c r="F379">
        <v>298</v>
      </c>
      <c r="H379">
        <v>248.34642049999999</v>
      </c>
      <c r="J379">
        <v>225.80642054718899</v>
      </c>
      <c r="K379">
        <v>270.66896266089998</v>
      </c>
      <c r="L379">
        <v>270.58823472762305</v>
      </c>
      <c r="M379">
        <v>1.000298342362735</v>
      </c>
      <c r="N379" s="1"/>
    </row>
    <row r="380" spans="1:14" x14ac:dyDescent="0.3">
      <c r="A380" t="s">
        <v>46</v>
      </c>
      <c r="B380">
        <v>27.23</v>
      </c>
      <c r="C380">
        <v>0.18029999999999999</v>
      </c>
      <c r="D380">
        <v>26.48</v>
      </c>
      <c r="E380">
        <v>8.3299999999999999E-2</v>
      </c>
      <c r="F380">
        <v>298</v>
      </c>
      <c r="H380">
        <v>499.82832459999997</v>
      </c>
      <c r="J380">
        <v>476.858324610713</v>
      </c>
      <c r="K380">
        <v>275.81476057939301</v>
      </c>
      <c r="L380">
        <v>275.75029999144027</v>
      </c>
      <c r="M380">
        <v>1.0002337643438819</v>
      </c>
      <c r="N380" s="1"/>
    </row>
    <row r="381" spans="1:14" x14ac:dyDescent="0.3">
      <c r="A381" t="s">
        <v>46</v>
      </c>
      <c r="B381">
        <v>27.23</v>
      </c>
      <c r="C381">
        <v>0.18029999999999999</v>
      </c>
      <c r="D381">
        <v>26.48</v>
      </c>
      <c r="E381">
        <v>8.3299999999999999E-2</v>
      </c>
      <c r="F381">
        <v>298</v>
      </c>
      <c r="H381">
        <v>754.28523480000001</v>
      </c>
      <c r="J381">
        <v>730.71523484088505</v>
      </c>
      <c r="K381">
        <v>283.018856072657</v>
      </c>
      <c r="L381">
        <v>282.95318078169225</v>
      </c>
      <c r="M381">
        <v>1.0002321065654158</v>
      </c>
      <c r="N381" s="1"/>
    </row>
    <row r="382" spans="1:14" x14ac:dyDescent="0.3">
      <c r="A382" t="s">
        <v>46</v>
      </c>
      <c r="B382">
        <v>27.23</v>
      </c>
      <c r="C382">
        <v>0.18029999999999999</v>
      </c>
      <c r="D382">
        <v>26.48</v>
      </c>
      <c r="E382">
        <v>8.3299999999999999E-2</v>
      </c>
      <c r="F382">
        <v>298</v>
      </c>
      <c r="H382">
        <v>1000.197127</v>
      </c>
      <c r="J382">
        <v>976.15712657111499</v>
      </c>
      <c r="K382">
        <v>288.67925537562701</v>
      </c>
      <c r="L382">
        <v>288.59544332395001</v>
      </c>
      <c r="M382">
        <v>1.0002904136347812</v>
      </c>
      <c r="N382" s="1"/>
    </row>
    <row r="383" spans="1:14" x14ac:dyDescent="0.3">
      <c r="A383" t="s">
        <v>52</v>
      </c>
      <c r="B383">
        <v>103.94</v>
      </c>
      <c r="C383">
        <v>0.54010000000000002</v>
      </c>
      <c r="D383">
        <v>20.79</v>
      </c>
      <c r="E383">
        <v>8.3299999999999999E-2</v>
      </c>
      <c r="F383">
        <v>298</v>
      </c>
      <c r="H383">
        <v>12.31460553</v>
      </c>
      <c r="J383">
        <v>3.3946055328106302</v>
      </c>
      <c r="K383">
        <v>107.142704537279</v>
      </c>
      <c r="L383">
        <v>107.08283309951224</v>
      </c>
      <c r="M383">
        <v>1.0005591133147469</v>
      </c>
      <c r="N383" s="1"/>
    </row>
    <row r="384" spans="1:14" x14ac:dyDescent="0.3">
      <c r="A384" t="s">
        <v>52</v>
      </c>
      <c r="B384">
        <v>103.94</v>
      </c>
      <c r="C384">
        <v>0.54010000000000002</v>
      </c>
      <c r="D384">
        <v>20.79</v>
      </c>
      <c r="E384">
        <v>8.3299999999999999E-2</v>
      </c>
      <c r="F384">
        <v>298</v>
      </c>
      <c r="H384">
        <v>29.460600150000001</v>
      </c>
      <c r="J384">
        <v>5.9406001495015301</v>
      </c>
      <c r="K384">
        <v>282.46767059669298</v>
      </c>
      <c r="L384">
        <v>282.35294118245463</v>
      </c>
      <c r="M384">
        <v>1.0004063333420856</v>
      </c>
      <c r="N384" s="1"/>
    </row>
    <row r="385" spans="1:14" x14ac:dyDescent="0.3">
      <c r="A385" t="s">
        <v>52</v>
      </c>
      <c r="B385">
        <v>103.94</v>
      </c>
      <c r="C385">
        <v>0.54010000000000002</v>
      </c>
      <c r="D385">
        <v>20.79</v>
      </c>
      <c r="E385">
        <v>8.3299999999999999E-2</v>
      </c>
      <c r="F385">
        <v>298</v>
      </c>
      <c r="H385">
        <v>51.321924490000001</v>
      </c>
      <c r="J385">
        <v>5.0919244860491197</v>
      </c>
      <c r="K385">
        <v>555.19523043959896</v>
      </c>
      <c r="L385">
        <v>554.98199284454836</v>
      </c>
      <c r="M385">
        <v>1.000384224349258</v>
      </c>
      <c r="N385" s="1"/>
    </row>
    <row r="386" spans="1:14" x14ac:dyDescent="0.3">
      <c r="A386" t="s">
        <v>52</v>
      </c>
      <c r="B386">
        <v>103.94</v>
      </c>
      <c r="C386">
        <v>0.54010000000000002</v>
      </c>
      <c r="D386">
        <v>20.79</v>
      </c>
      <c r="E386">
        <v>8.3299999999999999E-2</v>
      </c>
      <c r="F386">
        <v>298</v>
      </c>
      <c r="H386">
        <v>100.42716249999999</v>
      </c>
      <c r="J386">
        <v>14.4271625420277</v>
      </c>
      <c r="K386">
        <v>1032.4669739190499</v>
      </c>
      <c r="L386">
        <v>1032.4129646815402</v>
      </c>
      <c r="M386">
        <v>1.0000523135986832</v>
      </c>
      <c r="N386" s="1"/>
    </row>
    <row r="387" spans="1:14" x14ac:dyDescent="0.3">
      <c r="A387" t="s">
        <v>52</v>
      </c>
      <c r="B387">
        <v>103.94</v>
      </c>
      <c r="C387">
        <v>0.54010000000000002</v>
      </c>
      <c r="D387">
        <v>20.79</v>
      </c>
      <c r="E387">
        <v>8.3299999999999999E-2</v>
      </c>
      <c r="F387">
        <v>298</v>
      </c>
      <c r="H387">
        <v>198.7322442</v>
      </c>
      <c r="J387">
        <v>36.492244186795503</v>
      </c>
      <c r="K387">
        <v>1948.05224723126</v>
      </c>
      <c r="L387">
        <v>1947.6590637839677</v>
      </c>
      <c r="M387">
        <v>1.0002018748838559</v>
      </c>
      <c r="N387" s="1"/>
    </row>
    <row r="388" spans="1:14" x14ac:dyDescent="0.3">
      <c r="A388" t="s">
        <v>52</v>
      </c>
      <c r="B388">
        <v>103.94</v>
      </c>
      <c r="C388">
        <v>0.54010000000000002</v>
      </c>
      <c r="D388">
        <v>20.79</v>
      </c>
      <c r="E388">
        <v>8.3299999999999999E-2</v>
      </c>
      <c r="F388">
        <v>298</v>
      </c>
      <c r="H388">
        <v>248.07073109999999</v>
      </c>
      <c r="J388">
        <v>50.0707310653709</v>
      </c>
      <c r="K388">
        <v>2376.6234369417798</v>
      </c>
      <c r="L388">
        <v>2376.9507807278405</v>
      </c>
      <c r="M388">
        <v>0.99986228415467626</v>
      </c>
      <c r="N388" s="1"/>
    </row>
    <row r="389" spans="1:14" x14ac:dyDescent="0.3">
      <c r="A389" t="s">
        <v>52</v>
      </c>
      <c r="B389">
        <v>103.94</v>
      </c>
      <c r="C389">
        <v>0.54010000000000002</v>
      </c>
      <c r="D389">
        <v>20.79</v>
      </c>
      <c r="E389">
        <v>8.3299999999999999E-2</v>
      </c>
      <c r="F389">
        <v>298</v>
      </c>
      <c r="H389">
        <v>497.07427410000003</v>
      </c>
      <c r="J389">
        <v>142.574274093372</v>
      </c>
      <c r="K389">
        <v>4256.4932368702102</v>
      </c>
      <c r="L389">
        <v>4255.7022809919335</v>
      </c>
      <c r="M389">
        <v>1.0001858578974872</v>
      </c>
      <c r="N389" s="1"/>
    </row>
    <row r="390" spans="1:14" x14ac:dyDescent="0.3">
      <c r="A390" t="s">
        <v>52</v>
      </c>
      <c r="B390">
        <v>103.94</v>
      </c>
      <c r="C390">
        <v>0.54010000000000002</v>
      </c>
      <c r="D390">
        <v>20.79</v>
      </c>
      <c r="E390">
        <v>8.3299999999999999E-2</v>
      </c>
      <c r="F390">
        <v>298</v>
      </c>
      <c r="H390">
        <v>749.62192789999995</v>
      </c>
      <c r="J390">
        <v>333.521927925211</v>
      </c>
      <c r="K390">
        <v>4996.7533583423001</v>
      </c>
      <c r="L390">
        <v>4995.1980789290392</v>
      </c>
      <c r="M390">
        <v>1.0003113549029861</v>
      </c>
      <c r="N390" s="1"/>
    </row>
    <row r="391" spans="1:14" x14ac:dyDescent="0.3">
      <c r="A391" t="s">
        <v>52</v>
      </c>
      <c r="B391">
        <v>103.94</v>
      </c>
      <c r="C391">
        <v>0.54010000000000002</v>
      </c>
      <c r="D391">
        <v>20.79</v>
      </c>
      <c r="E391">
        <v>8.3299999999999999E-2</v>
      </c>
      <c r="F391">
        <v>298</v>
      </c>
      <c r="H391">
        <v>1000.053686</v>
      </c>
      <c r="J391">
        <v>566.05368568256199</v>
      </c>
      <c r="K391">
        <v>5211.0389531975597</v>
      </c>
      <c r="L391">
        <v>5210.0840374242252</v>
      </c>
      <c r="M391">
        <v>1.0001832822208769</v>
      </c>
      <c r="N391" s="1"/>
    </row>
    <row r="392" spans="1:14" x14ac:dyDescent="0.3">
      <c r="A392" t="s">
        <v>53</v>
      </c>
      <c r="B392">
        <v>68.81</v>
      </c>
      <c r="C392">
        <v>0.3755</v>
      </c>
      <c r="D392">
        <v>21.83</v>
      </c>
      <c r="E392">
        <v>8.3299999999999999E-2</v>
      </c>
      <c r="F392">
        <v>298</v>
      </c>
      <c r="H392">
        <v>11.319120760000001</v>
      </c>
      <c r="J392">
        <v>3.5131207635980601</v>
      </c>
      <c r="K392">
        <v>93.749761581421396</v>
      </c>
      <c r="L392">
        <v>93.709483750323415</v>
      </c>
      <c r="M392">
        <v>1.0004298159533702</v>
      </c>
      <c r="N392" s="1"/>
    </row>
    <row r="393" spans="1:14" x14ac:dyDescent="0.3">
      <c r="A393" t="s">
        <v>53</v>
      </c>
      <c r="B393">
        <v>68.81</v>
      </c>
      <c r="C393">
        <v>0.3755</v>
      </c>
      <c r="D393">
        <v>21.83</v>
      </c>
      <c r="E393">
        <v>8.3299999999999999E-2</v>
      </c>
      <c r="F393">
        <v>298</v>
      </c>
      <c r="H393">
        <v>26.996935929999999</v>
      </c>
      <c r="J393">
        <v>8.7829359259617696</v>
      </c>
      <c r="K393">
        <v>218.74964237213101</v>
      </c>
      <c r="L393">
        <v>218.6554622333521</v>
      </c>
      <c r="M393">
        <v>1.0004307239243737</v>
      </c>
      <c r="N393" s="1"/>
    </row>
    <row r="394" spans="1:14" x14ac:dyDescent="0.3">
      <c r="A394" t="s">
        <v>53</v>
      </c>
      <c r="B394">
        <v>68.81</v>
      </c>
      <c r="C394">
        <v>0.3755</v>
      </c>
      <c r="D394">
        <v>21.83</v>
      </c>
      <c r="E394">
        <v>8.3299999999999999E-2</v>
      </c>
      <c r="F394">
        <v>298</v>
      </c>
      <c r="H394">
        <v>53.022935930000003</v>
      </c>
      <c r="J394">
        <v>8.7829359259617696</v>
      </c>
      <c r="K394">
        <v>531.24964237213101</v>
      </c>
      <c r="L394">
        <v>531.09243702326819</v>
      </c>
      <c r="M394">
        <v>1.0002960037422939</v>
      </c>
      <c r="N394" s="1"/>
    </row>
    <row r="395" spans="1:14" x14ac:dyDescent="0.3">
      <c r="A395" t="s">
        <v>53</v>
      </c>
      <c r="B395">
        <v>68.81</v>
      </c>
      <c r="C395">
        <v>0.3755</v>
      </c>
      <c r="D395">
        <v>21.83</v>
      </c>
      <c r="E395">
        <v>8.3299999999999999E-2</v>
      </c>
      <c r="F395">
        <v>298</v>
      </c>
      <c r="H395">
        <v>102.0121469</v>
      </c>
      <c r="J395">
        <v>24.592146883361199</v>
      </c>
      <c r="K395">
        <v>929.68732118606499</v>
      </c>
      <c r="L395">
        <v>929.41176490562793</v>
      </c>
      <c r="M395">
        <v>1.0002964846054698</v>
      </c>
      <c r="N395" s="1"/>
    </row>
    <row r="396" spans="1:14" x14ac:dyDescent="0.3">
      <c r="A396" t="s">
        <v>53</v>
      </c>
      <c r="B396">
        <v>68.81</v>
      </c>
      <c r="C396">
        <v>0.3755</v>
      </c>
      <c r="D396">
        <v>21.83</v>
      </c>
      <c r="E396">
        <v>8.3299999999999999E-2</v>
      </c>
      <c r="F396">
        <v>298</v>
      </c>
      <c r="H396">
        <v>199.25611409999999</v>
      </c>
      <c r="J396">
        <v>48.306114088548</v>
      </c>
      <c r="K396">
        <v>1812.49976158142</v>
      </c>
      <c r="L396">
        <v>1812.124850077455</v>
      </c>
      <c r="M396">
        <v>1.0002068905483796</v>
      </c>
      <c r="N396" s="1"/>
    </row>
    <row r="397" spans="1:14" x14ac:dyDescent="0.3">
      <c r="A397" t="s">
        <v>53</v>
      </c>
      <c r="B397">
        <v>68.81</v>
      </c>
      <c r="C397">
        <v>0.3755</v>
      </c>
      <c r="D397">
        <v>21.83</v>
      </c>
      <c r="E397">
        <v>8.3299999999999999E-2</v>
      </c>
      <c r="F397">
        <v>298</v>
      </c>
      <c r="H397">
        <v>248.91535859999999</v>
      </c>
      <c r="J397">
        <v>64.1153585501891</v>
      </c>
      <c r="K397">
        <v>2218.7498211860602</v>
      </c>
      <c r="L397">
        <v>2218.4873955559528</v>
      </c>
      <c r="M397">
        <v>1.0001182903408119</v>
      </c>
      <c r="N397" s="1"/>
    </row>
    <row r="398" spans="1:14" x14ac:dyDescent="0.3">
      <c r="A398" t="s">
        <v>53</v>
      </c>
      <c r="B398">
        <v>68.81</v>
      </c>
      <c r="C398">
        <v>0.3755</v>
      </c>
      <c r="D398">
        <v>21.83</v>
      </c>
      <c r="E398">
        <v>8.3299999999999999E-2</v>
      </c>
      <c r="F398">
        <v>298</v>
      </c>
      <c r="H398">
        <v>499.19818129999999</v>
      </c>
      <c r="J398">
        <v>186.19818132275401</v>
      </c>
      <c r="K398">
        <v>3757.81238079071</v>
      </c>
      <c r="L398">
        <v>3757.5030009273228</v>
      </c>
      <c r="M398">
        <v>1.0000823365578979</v>
      </c>
      <c r="N398" s="1"/>
    </row>
    <row r="399" spans="1:14" x14ac:dyDescent="0.3">
      <c r="A399" t="s">
        <v>53</v>
      </c>
      <c r="B399">
        <v>68.81</v>
      </c>
      <c r="C399">
        <v>0.3755</v>
      </c>
      <c r="D399">
        <v>21.83</v>
      </c>
      <c r="E399">
        <v>8.3299999999999999E-2</v>
      </c>
      <c r="F399">
        <v>298</v>
      </c>
      <c r="H399">
        <v>750.63667190000001</v>
      </c>
      <c r="J399">
        <v>403.13667189061601</v>
      </c>
      <c r="K399">
        <v>4171.8746721744501</v>
      </c>
      <c r="L399">
        <v>4171.66866757964</v>
      </c>
      <c r="M399">
        <v>1.0000493818208553</v>
      </c>
      <c r="N399" s="1"/>
    </row>
    <row r="400" spans="1:14" x14ac:dyDescent="0.3">
      <c r="A400" t="s">
        <v>53</v>
      </c>
      <c r="B400">
        <v>68.81</v>
      </c>
      <c r="C400">
        <v>0.3755</v>
      </c>
      <c r="D400">
        <v>21.83</v>
      </c>
      <c r="E400">
        <v>8.3299999999999999E-2</v>
      </c>
      <c r="F400">
        <v>298</v>
      </c>
      <c r="H400">
        <v>1001.654222</v>
      </c>
      <c r="J400">
        <v>641.15422208248197</v>
      </c>
      <c r="K400">
        <v>4328.1246721744501</v>
      </c>
      <c r="L400">
        <v>4327.7310914467953</v>
      </c>
      <c r="M400">
        <v>1.0000909438963139</v>
      </c>
      <c r="N400" s="1"/>
    </row>
    <row r="401" spans="1:14" x14ac:dyDescent="0.3">
      <c r="A401" t="s">
        <v>54</v>
      </c>
      <c r="B401">
        <v>60.02</v>
      </c>
      <c r="C401">
        <v>0.31269999999999998</v>
      </c>
      <c r="D401">
        <v>20.84</v>
      </c>
      <c r="E401">
        <v>8.3299999999999999E-2</v>
      </c>
      <c r="F401">
        <v>298</v>
      </c>
      <c r="H401">
        <v>10.134423079999999</v>
      </c>
      <c r="J401">
        <v>4.32442307732956</v>
      </c>
      <c r="K401">
        <v>69.7864104634954</v>
      </c>
      <c r="L401">
        <v>69.74789919172197</v>
      </c>
      <c r="M401">
        <v>1.0005521495589074</v>
      </c>
      <c r="N401" s="1"/>
    </row>
    <row r="402" spans="1:14" x14ac:dyDescent="0.3">
      <c r="A402" t="s">
        <v>54</v>
      </c>
      <c r="B402">
        <v>60.02</v>
      </c>
      <c r="C402">
        <v>0.31269999999999998</v>
      </c>
      <c r="D402">
        <v>20.84</v>
      </c>
      <c r="E402">
        <v>8.3299999999999999E-2</v>
      </c>
      <c r="F402">
        <v>298</v>
      </c>
      <c r="H402">
        <v>23.977575430000002</v>
      </c>
      <c r="J402">
        <v>7.5675754254534704</v>
      </c>
      <c r="K402">
        <v>197.044148293506</v>
      </c>
      <c r="L402">
        <v>196.99879957438813</v>
      </c>
      <c r="M402">
        <v>1.0002301979464638</v>
      </c>
      <c r="N402" s="1"/>
    </row>
    <row r="403" spans="1:14" x14ac:dyDescent="0.3">
      <c r="A403" t="s">
        <v>54</v>
      </c>
      <c r="B403">
        <v>60.02</v>
      </c>
      <c r="C403">
        <v>0.31269999999999998</v>
      </c>
      <c r="D403">
        <v>20.84</v>
      </c>
      <c r="E403">
        <v>8.3299999999999999E-2</v>
      </c>
      <c r="F403">
        <v>298</v>
      </c>
      <c r="H403">
        <v>51.035233329999997</v>
      </c>
      <c r="J403">
        <v>15.1352333308434</v>
      </c>
      <c r="K403">
        <v>431.03448545856401</v>
      </c>
      <c r="L403">
        <v>430.9723889454574</v>
      </c>
      <c r="M403">
        <v>1.0001440846669054</v>
      </c>
      <c r="N403" s="1"/>
    </row>
    <row r="404" spans="1:14" x14ac:dyDescent="0.3">
      <c r="A404" t="s">
        <v>54</v>
      </c>
      <c r="B404">
        <v>60.02</v>
      </c>
      <c r="C404">
        <v>0.31269999999999998</v>
      </c>
      <c r="D404">
        <v>20.84</v>
      </c>
      <c r="E404">
        <v>8.3299999999999999E-2</v>
      </c>
      <c r="F404">
        <v>298</v>
      </c>
      <c r="H404">
        <v>100.13243079999999</v>
      </c>
      <c r="J404">
        <v>32.432430760541898</v>
      </c>
      <c r="K404">
        <v>812.80754235183099</v>
      </c>
      <c r="L404">
        <v>812.72509050970109</v>
      </c>
      <c r="M404">
        <v>1.0001014510848658</v>
      </c>
      <c r="N404" s="1"/>
    </row>
    <row r="405" spans="1:14" x14ac:dyDescent="0.3">
      <c r="A405" t="s">
        <v>54</v>
      </c>
      <c r="B405">
        <v>60.02</v>
      </c>
      <c r="C405">
        <v>0.31269999999999998</v>
      </c>
      <c r="D405">
        <v>20.84</v>
      </c>
      <c r="E405">
        <v>8.3299999999999999E-2</v>
      </c>
      <c r="F405">
        <v>298</v>
      </c>
      <c r="H405">
        <v>200.7675878</v>
      </c>
      <c r="J405">
        <v>87.567587797443906</v>
      </c>
      <c r="K405">
        <v>1358.7848391401899</v>
      </c>
      <c r="L405">
        <v>1358.9435774616579</v>
      </c>
      <c r="M405">
        <v>0.9998831899100884</v>
      </c>
      <c r="N405" s="1"/>
    </row>
    <row r="406" spans="1:14" x14ac:dyDescent="0.3">
      <c r="A406" t="s">
        <v>54</v>
      </c>
      <c r="B406">
        <v>60.02</v>
      </c>
      <c r="C406">
        <v>0.31269999999999998</v>
      </c>
      <c r="D406">
        <v>20.84</v>
      </c>
      <c r="E406">
        <v>8.3299999999999999E-2</v>
      </c>
      <c r="F406">
        <v>298</v>
      </c>
      <c r="H406">
        <v>251.218954</v>
      </c>
      <c r="J406">
        <v>118.918954028621</v>
      </c>
      <c r="K406">
        <v>1588.66999200949</v>
      </c>
      <c r="L406">
        <v>1588.2352937740577</v>
      </c>
      <c r="M406">
        <v>1.0002736988890351</v>
      </c>
      <c r="N406" s="1"/>
    </row>
    <row r="407" spans="1:14" x14ac:dyDescent="0.3">
      <c r="A407" t="s">
        <v>54</v>
      </c>
      <c r="B407">
        <v>60.02</v>
      </c>
      <c r="C407">
        <v>0.31269999999999998</v>
      </c>
      <c r="D407">
        <v>20.84</v>
      </c>
      <c r="E407">
        <v>8.3299999999999999E-2</v>
      </c>
      <c r="F407">
        <v>298</v>
      </c>
      <c r="H407">
        <v>500.35673220000001</v>
      </c>
      <c r="J407">
        <v>316.75673217996399</v>
      </c>
      <c r="K407">
        <v>2204.4334643662</v>
      </c>
      <c r="L407">
        <v>2204.0816328935898</v>
      </c>
      <c r="M407">
        <v>1.0001596272421853</v>
      </c>
      <c r="N407" s="1"/>
    </row>
    <row r="408" spans="1:14" x14ac:dyDescent="0.3">
      <c r="A408" t="s">
        <v>54</v>
      </c>
      <c r="B408">
        <v>60.02</v>
      </c>
      <c r="C408">
        <v>0.31269999999999998</v>
      </c>
      <c r="D408">
        <v>20.84</v>
      </c>
      <c r="E408">
        <v>8.3299999999999999E-2</v>
      </c>
      <c r="F408">
        <v>298</v>
      </c>
      <c r="H408">
        <v>749.09455779999996</v>
      </c>
      <c r="J408">
        <v>554.59455775727099</v>
      </c>
      <c r="K408">
        <v>2335.7962298952002</v>
      </c>
      <c r="L408">
        <v>2334.9339741023887</v>
      </c>
      <c r="M408">
        <v>1.0003692848715959</v>
      </c>
      <c r="N408" s="1"/>
    </row>
    <row r="409" spans="1:14" x14ac:dyDescent="0.3">
      <c r="A409" t="s">
        <v>54</v>
      </c>
      <c r="B409">
        <v>60.02</v>
      </c>
      <c r="C409">
        <v>0.31269999999999998</v>
      </c>
      <c r="D409">
        <v>20.84</v>
      </c>
      <c r="E409">
        <v>8.3299999999999999E-2</v>
      </c>
      <c r="F409">
        <v>298</v>
      </c>
      <c r="H409">
        <v>998.44327610000005</v>
      </c>
      <c r="J409">
        <v>803.24327606802797</v>
      </c>
      <c r="K409">
        <v>2344.0065984867301</v>
      </c>
      <c r="L409">
        <v>2343.3373353177922</v>
      </c>
      <c r="M409">
        <v>1.0002856025715339</v>
      </c>
      <c r="N409" s="1"/>
    </row>
    <row r="410" spans="1:14" x14ac:dyDescent="0.3">
      <c r="A410" t="s">
        <v>57</v>
      </c>
      <c r="B410">
        <v>2611</v>
      </c>
      <c r="C410">
        <v>0.87</v>
      </c>
      <c r="D410">
        <v>1.7</v>
      </c>
      <c r="E410">
        <v>0.66700000000000004</v>
      </c>
      <c r="F410">
        <v>298</v>
      </c>
      <c r="G410">
        <v>2</v>
      </c>
      <c r="H410">
        <v>105.95640958760499</v>
      </c>
      <c r="J410">
        <v>0.82352650000000005</v>
      </c>
      <c r="K410">
        <v>157.62058166905899</v>
      </c>
      <c r="L410">
        <v>157.62051437422036</v>
      </c>
      <c r="M410">
        <v>1.0000004269421332</v>
      </c>
      <c r="N410" s="1" t="s">
        <v>59</v>
      </c>
    </row>
    <row r="411" spans="1:14" x14ac:dyDescent="0.3">
      <c r="A411" t="s">
        <v>57</v>
      </c>
      <c r="B411">
        <v>2611</v>
      </c>
      <c r="C411">
        <v>0.87</v>
      </c>
      <c r="D411">
        <v>1.7</v>
      </c>
      <c r="E411">
        <v>0.66700000000000004</v>
      </c>
      <c r="F411">
        <v>298</v>
      </c>
      <c r="G411">
        <v>2</v>
      </c>
      <c r="H411">
        <v>194.87180824789601</v>
      </c>
      <c r="J411">
        <v>10.3931</v>
      </c>
      <c r="K411">
        <v>276.57969959752802</v>
      </c>
      <c r="L411">
        <v>276.57977248560121</v>
      </c>
      <c r="M411">
        <v>0.99999973646636364</v>
      </c>
      <c r="N411" s="1"/>
    </row>
    <row r="412" spans="1:14" x14ac:dyDescent="0.3">
      <c r="A412" t="s">
        <v>57</v>
      </c>
      <c r="B412">
        <v>2611</v>
      </c>
      <c r="C412">
        <v>0.87</v>
      </c>
      <c r="D412">
        <v>1.7</v>
      </c>
      <c r="E412">
        <v>0.66700000000000004</v>
      </c>
      <c r="F412">
        <v>298</v>
      </c>
      <c r="G412">
        <v>2</v>
      </c>
      <c r="H412">
        <v>307.69228762815499</v>
      </c>
      <c r="J412">
        <v>8.1622000000000003</v>
      </c>
      <c r="K412">
        <v>449.07062480066702</v>
      </c>
      <c r="L412">
        <v>449.07059614416039</v>
      </c>
      <c r="M412">
        <v>1.0000000638129214</v>
      </c>
      <c r="N412" s="1"/>
    </row>
    <row r="413" spans="1:14" x14ac:dyDescent="0.3">
      <c r="A413" t="s">
        <v>57</v>
      </c>
      <c r="B413">
        <v>2611</v>
      </c>
      <c r="C413">
        <v>0.87</v>
      </c>
      <c r="D413">
        <v>1.7</v>
      </c>
      <c r="E413">
        <v>0.66700000000000004</v>
      </c>
      <c r="F413">
        <v>298</v>
      </c>
      <c r="G413">
        <v>2</v>
      </c>
      <c r="H413">
        <v>396.58111855393599</v>
      </c>
      <c r="J413">
        <v>21.672599999999999</v>
      </c>
      <c r="K413">
        <v>562.08176414306195</v>
      </c>
      <c r="L413">
        <v>562.08173696242272</v>
      </c>
      <c r="M413">
        <v>1.0000000483570937</v>
      </c>
      <c r="N413" s="1"/>
    </row>
    <row r="414" spans="1:14" x14ac:dyDescent="0.3">
      <c r="A414" t="s">
        <v>57</v>
      </c>
      <c r="B414">
        <v>2611</v>
      </c>
      <c r="C414">
        <v>0.87</v>
      </c>
      <c r="D414">
        <v>1.7</v>
      </c>
      <c r="E414">
        <v>0.66700000000000004</v>
      </c>
      <c r="F414">
        <v>298</v>
      </c>
      <c r="G414">
        <v>2</v>
      </c>
      <c r="H414">
        <v>492.30758195485203</v>
      </c>
      <c r="J414">
        <v>55.906100000000002</v>
      </c>
      <c r="K414">
        <v>654.275148606578</v>
      </c>
      <c r="L414">
        <v>654.27508538958318</v>
      </c>
      <c r="M414">
        <v>1.0000000966214306</v>
      </c>
      <c r="N414" s="1"/>
    </row>
    <row r="415" spans="1:14" x14ac:dyDescent="0.3">
      <c r="A415" t="s">
        <v>57</v>
      </c>
      <c r="B415">
        <v>2611</v>
      </c>
      <c r="C415">
        <v>0.87</v>
      </c>
      <c r="D415">
        <v>1.7</v>
      </c>
      <c r="E415">
        <v>0.66700000000000004</v>
      </c>
      <c r="F415">
        <v>298</v>
      </c>
      <c r="G415">
        <v>2</v>
      </c>
      <c r="H415">
        <v>601.70931030603901</v>
      </c>
      <c r="J415">
        <v>85.962100000000007</v>
      </c>
      <c r="K415">
        <v>773.23426653504703</v>
      </c>
      <c r="L415">
        <v>773.23419835987863</v>
      </c>
      <c r="M415">
        <v>1.0000000881688478</v>
      </c>
      <c r="N415" s="1"/>
    </row>
    <row r="416" spans="1:14" x14ac:dyDescent="0.3">
      <c r="A416" t="s">
        <v>57</v>
      </c>
      <c r="B416">
        <v>2611</v>
      </c>
      <c r="C416">
        <v>0.87</v>
      </c>
      <c r="D416">
        <v>1.7</v>
      </c>
      <c r="E416">
        <v>0.66700000000000004</v>
      </c>
      <c r="F416">
        <v>298</v>
      </c>
      <c r="G416">
        <v>2</v>
      </c>
      <c r="H416">
        <v>1001.70944072303</v>
      </c>
      <c r="J416">
        <v>468.10939999999999</v>
      </c>
      <c r="K416">
        <v>800</v>
      </c>
      <c r="L416">
        <v>800.00006105401781</v>
      </c>
      <c r="M416">
        <v>0.99999992368248358</v>
      </c>
      <c r="N416" s="1"/>
    </row>
    <row r="417" spans="1:14" x14ac:dyDescent="0.3">
      <c r="A417" t="s">
        <v>57</v>
      </c>
      <c r="B417">
        <v>2611</v>
      </c>
      <c r="C417">
        <v>0.87</v>
      </c>
      <c r="D417">
        <v>1.7</v>
      </c>
      <c r="E417">
        <v>0.66700000000000004</v>
      </c>
      <c r="F417">
        <v>298</v>
      </c>
      <c r="G417">
        <v>2</v>
      </c>
      <c r="H417">
        <v>1497.43590412394</v>
      </c>
      <c r="J417">
        <v>975.73770000000002</v>
      </c>
      <c r="K417">
        <v>782.156177690032</v>
      </c>
      <c r="L417">
        <v>782.1562280718739</v>
      </c>
      <c r="M417">
        <v>0.9999999355859609</v>
      </c>
      <c r="N417" s="1"/>
    </row>
    <row r="418" spans="1:14" x14ac:dyDescent="0.3">
      <c r="A418" t="s">
        <v>58</v>
      </c>
      <c r="B418">
        <v>3085</v>
      </c>
      <c r="C418">
        <v>0.95</v>
      </c>
      <c r="D418">
        <v>1.7</v>
      </c>
      <c r="E418">
        <v>0.66700000000000004</v>
      </c>
      <c r="F418">
        <v>298</v>
      </c>
      <c r="G418">
        <v>2</v>
      </c>
      <c r="H418">
        <v>103.697606139478</v>
      </c>
      <c r="J418">
        <v>0.8582727</v>
      </c>
      <c r="K418">
        <v>154.181917653997</v>
      </c>
      <c r="L418">
        <v>154.18190920461467</v>
      </c>
      <c r="M418">
        <v>1.0000000548013861</v>
      </c>
      <c r="N418" s="1"/>
    </row>
    <row r="419" spans="1:14" x14ac:dyDescent="0.3">
      <c r="A419" t="s">
        <v>58</v>
      </c>
      <c r="B419">
        <v>3085</v>
      </c>
      <c r="C419">
        <v>0.95</v>
      </c>
      <c r="D419">
        <v>1.7</v>
      </c>
      <c r="E419">
        <v>0.66700000000000004</v>
      </c>
      <c r="F419">
        <v>298</v>
      </c>
      <c r="G419">
        <v>2</v>
      </c>
      <c r="H419">
        <v>196.319012278956</v>
      </c>
      <c r="J419">
        <v>0.3422</v>
      </c>
      <c r="K419">
        <v>293.81826878067398</v>
      </c>
      <c r="L419">
        <v>293.81830926380206</v>
      </c>
      <c r="M419">
        <v>0.99999986221713622</v>
      </c>
      <c r="N419" s="1"/>
    </row>
    <row r="420" spans="1:14" x14ac:dyDescent="0.3">
      <c r="A420" t="s">
        <v>58</v>
      </c>
      <c r="B420">
        <v>3085</v>
      </c>
      <c r="C420">
        <v>0.95</v>
      </c>
      <c r="D420">
        <v>1.7</v>
      </c>
      <c r="E420">
        <v>0.66700000000000004</v>
      </c>
      <c r="F420">
        <v>298</v>
      </c>
      <c r="G420">
        <v>2</v>
      </c>
      <c r="H420">
        <v>304.94319252861999</v>
      </c>
      <c r="J420">
        <v>0.28115760000000001</v>
      </c>
      <c r="K420">
        <v>456.72732659962901</v>
      </c>
      <c r="L420">
        <v>456.76467005790107</v>
      </c>
      <c r="M420">
        <v>0.99991824354920589</v>
      </c>
      <c r="N420" s="1"/>
    </row>
    <row r="421" spans="1:14" x14ac:dyDescent="0.3">
      <c r="A421" t="s">
        <v>58</v>
      </c>
      <c r="B421">
        <v>3085</v>
      </c>
      <c r="C421">
        <v>0.95</v>
      </c>
      <c r="D421">
        <v>1.7</v>
      </c>
      <c r="E421">
        <v>0.66700000000000004</v>
      </c>
      <c r="F421">
        <v>298</v>
      </c>
      <c r="G421">
        <v>2</v>
      </c>
      <c r="H421">
        <v>405.90995816938801</v>
      </c>
      <c r="J421">
        <v>2.314203</v>
      </c>
      <c r="K421">
        <v>605.09103983730199</v>
      </c>
      <c r="L421">
        <v>605.09108721047676</v>
      </c>
      <c r="M421">
        <v>0.99999992170901908</v>
      </c>
      <c r="N421" s="1"/>
    </row>
    <row r="422" spans="1:14" x14ac:dyDescent="0.3">
      <c r="A422" t="s">
        <v>58</v>
      </c>
      <c r="B422">
        <v>3085</v>
      </c>
      <c r="C422">
        <v>0.95</v>
      </c>
      <c r="D422">
        <v>1.7</v>
      </c>
      <c r="E422">
        <v>0.66700000000000004</v>
      </c>
      <c r="F422">
        <v>298</v>
      </c>
      <c r="G422">
        <v>2</v>
      </c>
      <c r="H422">
        <v>497.34139792034199</v>
      </c>
      <c r="J422">
        <v>37.475200000000001</v>
      </c>
      <c r="K422">
        <v>689.45461546843103</v>
      </c>
      <c r="L422">
        <v>689.45456959571504</v>
      </c>
      <c r="M422">
        <v>1.0000000665347915</v>
      </c>
      <c r="N422" s="1"/>
    </row>
    <row r="423" spans="1:14" x14ac:dyDescent="0.3">
      <c r="A423" t="s">
        <v>58</v>
      </c>
      <c r="B423">
        <v>3085</v>
      </c>
      <c r="C423">
        <v>0.95</v>
      </c>
      <c r="D423">
        <v>1.7</v>
      </c>
      <c r="E423">
        <v>0.66700000000000004</v>
      </c>
      <c r="F423">
        <v>298</v>
      </c>
      <c r="G423">
        <v>2</v>
      </c>
      <c r="H423">
        <v>595.50090405981996</v>
      </c>
      <c r="J423">
        <v>112.3503</v>
      </c>
      <c r="K423">
        <v>724.36373099335594</v>
      </c>
      <c r="L423">
        <v>724.3637242276161</v>
      </c>
      <c r="M423">
        <v>1.0000000093402521</v>
      </c>
      <c r="N423" s="1"/>
    </row>
    <row r="424" spans="1:14" x14ac:dyDescent="0.3">
      <c r="A424" t="s">
        <v>58</v>
      </c>
      <c r="B424">
        <v>3085</v>
      </c>
      <c r="C424">
        <v>0.95</v>
      </c>
      <c r="D424">
        <v>1.7</v>
      </c>
      <c r="E424">
        <v>0.66700000000000004</v>
      </c>
      <c r="F424">
        <v>298</v>
      </c>
      <c r="G424">
        <v>2</v>
      </c>
      <c r="H424">
        <v>997.95472945216102</v>
      </c>
      <c r="J424">
        <v>508.983</v>
      </c>
      <c r="K424">
        <v>733.090982131332</v>
      </c>
      <c r="L424">
        <v>733.09104865391453</v>
      </c>
      <c r="M424">
        <v>0.99999990925740723</v>
      </c>
      <c r="N424" s="1"/>
    </row>
    <row r="425" spans="1:14" x14ac:dyDescent="0.3">
      <c r="A425" t="s">
        <v>58</v>
      </c>
      <c r="B425">
        <v>3085</v>
      </c>
      <c r="C425">
        <v>0.95</v>
      </c>
      <c r="D425">
        <v>1.7</v>
      </c>
      <c r="E425">
        <v>0.66700000000000004</v>
      </c>
      <c r="F425">
        <v>298</v>
      </c>
      <c r="G425">
        <v>2</v>
      </c>
      <c r="H425">
        <v>1501.8404938605199</v>
      </c>
      <c r="J425">
        <v>1008.9881</v>
      </c>
      <c r="K425">
        <v>738.90918654765596</v>
      </c>
      <c r="L425">
        <v>738.90913622266851</v>
      </c>
      <c r="M425">
        <v>1.0000000681071393</v>
      </c>
      <c r="N425" s="1"/>
    </row>
    <row r="426" spans="1:14" x14ac:dyDescent="0.3">
      <c r="A426" t="s">
        <v>60</v>
      </c>
      <c r="B426">
        <v>1387</v>
      </c>
      <c r="C426">
        <v>0.877</v>
      </c>
      <c r="E426">
        <v>1</v>
      </c>
      <c r="F426">
        <v>298</v>
      </c>
      <c r="G426">
        <v>1.5</v>
      </c>
      <c r="H426">
        <v>100</v>
      </c>
      <c r="I426">
        <v>2</v>
      </c>
      <c r="J426">
        <v>3.2827999999999999</v>
      </c>
      <c r="K426">
        <v>96.717178808183604</v>
      </c>
      <c r="L426">
        <v>96.717200000000005</v>
      </c>
      <c r="M426">
        <v>0.99999978088885533</v>
      </c>
      <c r="N426" s="1" t="s">
        <v>65</v>
      </c>
    </row>
    <row r="427" spans="1:14" x14ac:dyDescent="0.3">
      <c r="A427" t="s">
        <v>60</v>
      </c>
      <c r="B427">
        <v>1387</v>
      </c>
      <c r="C427">
        <v>0.877</v>
      </c>
      <c r="E427">
        <v>1</v>
      </c>
      <c r="F427">
        <v>298</v>
      </c>
      <c r="G427">
        <v>1.5</v>
      </c>
      <c r="H427">
        <v>100</v>
      </c>
      <c r="I427">
        <v>4</v>
      </c>
      <c r="J427">
        <v>4.798</v>
      </c>
      <c r="K427">
        <v>95.202031306812501</v>
      </c>
      <c r="L427">
        <v>95.201999999999998</v>
      </c>
      <c r="M427">
        <v>1.0000003288461641</v>
      </c>
      <c r="N427" s="1"/>
    </row>
    <row r="428" spans="1:14" x14ac:dyDescent="0.3">
      <c r="A428" t="s">
        <v>60</v>
      </c>
      <c r="B428">
        <v>1387</v>
      </c>
      <c r="C428">
        <v>0.877</v>
      </c>
      <c r="E428">
        <v>1</v>
      </c>
      <c r="F428">
        <v>298</v>
      </c>
      <c r="G428">
        <v>1.5</v>
      </c>
      <c r="H428">
        <v>100</v>
      </c>
      <c r="I428">
        <v>6</v>
      </c>
      <c r="J428">
        <v>21.464600000000001</v>
      </c>
      <c r="K428">
        <v>78.535355809828999</v>
      </c>
      <c r="L428">
        <v>78.535399999999996</v>
      </c>
      <c r="M428">
        <v>0.99999943732162822</v>
      </c>
      <c r="N428" s="1"/>
    </row>
    <row r="429" spans="1:14" x14ac:dyDescent="0.3">
      <c r="A429" t="s">
        <v>60</v>
      </c>
      <c r="B429">
        <v>1387</v>
      </c>
      <c r="C429">
        <v>0.877</v>
      </c>
      <c r="E429">
        <v>1</v>
      </c>
      <c r="F429">
        <v>298</v>
      </c>
      <c r="G429">
        <v>1.5</v>
      </c>
      <c r="H429">
        <v>100</v>
      </c>
      <c r="I429">
        <v>7</v>
      </c>
      <c r="J429">
        <v>48.989899999999999</v>
      </c>
      <c r="K429">
        <v>51.010116797637103</v>
      </c>
      <c r="L429">
        <v>51.010100000000001</v>
      </c>
      <c r="M429">
        <v>1.0000003293002191</v>
      </c>
      <c r="N429" s="1"/>
    </row>
    <row r="430" spans="1:14" x14ac:dyDescent="0.3">
      <c r="A430" t="s">
        <v>60</v>
      </c>
      <c r="B430">
        <v>1387</v>
      </c>
      <c r="C430">
        <v>0.877</v>
      </c>
      <c r="E430">
        <v>1</v>
      </c>
      <c r="F430">
        <v>298</v>
      </c>
      <c r="G430">
        <v>1.5</v>
      </c>
      <c r="H430">
        <v>100</v>
      </c>
      <c r="I430">
        <v>8</v>
      </c>
      <c r="J430">
        <v>68.686899999999994</v>
      </c>
      <c r="K430">
        <v>31.313141481374899</v>
      </c>
      <c r="L430">
        <v>31.313100000000006</v>
      </c>
      <c r="M430">
        <v>1.0000013247291035</v>
      </c>
      <c r="N430" s="1"/>
    </row>
    <row r="431" spans="1:14" x14ac:dyDescent="0.3">
      <c r="A431" t="s">
        <v>60</v>
      </c>
      <c r="B431">
        <v>1387</v>
      </c>
      <c r="C431">
        <v>0.877</v>
      </c>
      <c r="E431">
        <v>1</v>
      </c>
      <c r="F431">
        <v>298</v>
      </c>
      <c r="G431">
        <v>1.5</v>
      </c>
      <c r="H431">
        <v>100</v>
      </c>
      <c r="I431">
        <v>10</v>
      </c>
      <c r="J431">
        <v>89.141400000000004</v>
      </c>
      <c r="K431">
        <v>10.8586020475</v>
      </c>
      <c r="L431">
        <v>10.858599999999996</v>
      </c>
      <c r="M431">
        <v>1.0000001885602199</v>
      </c>
      <c r="N431" s="1"/>
    </row>
    <row r="432" spans="1:14" x14ac:dyDescent="0.3">
      <c r="A432" t="s">
        <v>60</v>
      </c>
      <c r="B432">
        <v>1387</v>
      </c>
      <c r="C432">
        <v>0.877</v>
      </c>
      <c r="E432">
        <v>1</v>
      </c>
      <c r="F432">
        <v>298</v>
      </c>
      <c r="G432">
        <v>1.5</v>
      </c>
      <c r="H432">
        <v>100</v>
      </c>
      <c r="I432">
        <v>12</v>
      </c>
      <c r="J432">
        <v>92.676699999999997</v>
      </c>
      <c r="K432">
        <v>7.3232546666097003</v>
      </c>
      <c r="L432">
        <v>7.3233000000000033</v>
      </c>
      <c r="M432">
        <v>0.99999380970459995</v>
      </c>
      <c r="N432" s="1"/>
    </row>
    <row r="433" spans="1:14" x14ac:dyDescent="0.3">
      <c r="A433" t="s">
        <v>61</v>
      </c>
      <c r="B433">
        <v>2989</v>
      </c>
      <c r="C433">
        <v>1.645</v>
      </c>
      <c r="E433">
        <v>1</v>
      </c>
      <c r="F433">
        <v>298</v>
      </c>
      <c r="G433">
        <v>0.41665999999999997</v>
      </c>
      <c r="H433">
        <v>200</v>
      </c>
      <c r="I433">
        <v>2</v>
      </c>
      <c r="J433">
        <v>194.375</v>
      </c>
      <c r="K433">
        <v>5.6249998882412999</v>
      </c>
      <c r="L433">
        <v>5.625</v>
      </c>
      <c r="M433">
        <v>0.9999999801317867</v>
      </c>
      <c r="N433" s="1"/>
    </row>
    <row r="434" spans="1:14" x14ac:dyDescent="0.3">
      <c r="A434" t="s">
        <v>61</v>
      </c>
      <c r="B434">
        <v>2989</v>
      </c>
      <c r="C434">
        <v>1.645</v>
      </c>
      <c r="E434">
        <v>1</v>
      </c>
      <c r="F434">
        <v>298</v>
      </c>
      <c r="G434">
        <v>0.83333000000000002</v>
      </c>
      <c r="H434">
        <v>200</v>
      </c>
      <c r="I434">
        <v>2</v>
      </c>
      <c r="J434">
        <v>189.75</v>
      </c>
      <c r="K434">
        <v>10.249991213282099</v>
      </c>
      <c r="L434">
        <v>10.25</v>
      </c>
      <c r="M434">
        <v>0.99999914275922919</v>
      </c>
      <c r="N434" s="1"/>
    </row>
    <row r="435" spans="1:14" x14ac:dyDescent="0.3">
      <c r="A435" t="s">
        <v>61</v>
      </c>
      <c r="B435">
        <v>2989</v>
      </c>
      <c r="C435">
        <v>1.645</v>
      </c>
      <c r="E435">
        <v>1</v>
      </c>
      <c r="F435">
        <v>298</v>
      </c>
      <c r="G435">
        <v>1.25</v>
      </c>
      <c r="H435">
        <v>200</v>
      </c>
      <c r="I435">
        <v>2</v>
      </c>
      <c r="J435">
        <v>187.625</v>
      </c>
      <c r="K435">
        <v>12.3750016614794</v>
      </c>
      <c r="L435">
        <v>12.375</v>
      </c>
      <c r="M435">
        <v>1.0000001342609617</v>
      </c>
      <c r="N435" s="1"/>
    </row>
    <row r="436" spans="1:14" x14ac:dyDescent="0.3">
      <c r="A436" t="s">
        <v>61</v>
      </c>
      <c r="B436">
        <v>2989</v>
      </c>
      <c r="C436">
        <v>1.645</v>
      </c>
      <c r="E436">
        <v>1</v>
      </c>
      <c r="F436">
        <v>298</v>
      </c>
      <c r="G436">
        <v>2.5</v>
      </c>
      <c r="H436">
        <v>200</v>
      </c>
      <c r="I436">
        <v>2</v>
      </c>
      <c r="J436">
        <v>185.75</v>
      </c>
      <c r="K436">
        <v>14.250001624226501</v>
      </c>
      <c r="L436">
        <v>14.25</v>
      </c>
      <c r="M436">
        <v>1.000000113980807</v>
      </c>
      <c r="N436" s="1"/>
    </row>
    <row r="437" spans="1:14" x14ac:dyDescent="0.3">
      <c r="A437" t="s">
        <v>61</v>
      </c>
      <c r="B437">
        <v>2989</v>
      </c>
      <c r="C437">
        <v>1.645</v>
      </c>
      <c r="E437">
        <v>1</v>
      </c>
      <c r="F437">
        <v>298</v>
      </c>
      <c r="G437">
        <v>5</v>
      </c>
      <c r="H437">
        <v>200</v>
      </c>
      <c r="I437">
        <v>2</v>
      </c>
      <c r="J437">
        <v>184</v>
      </c>
      <c r="K437">
        <v>15.9999987284342</v>
      </c>
      <c r="L437">
        <v>16</v>
      </c>
      <c r="M437">
        <v>0.99999992052713749</v>
      </c>
      <c r="N437" s="1"/>
    </row>
    <row r="438" spans="1:14" x14ac:dyDescent="0.3">
      <c r="A438" t="s">
        <v>62</v>
      </c>
      <c r="B438">
        <v>2391</v>
      </c>
      <c r="C438">
        <v>1.276</v>
      </c>
      <c r="E438">
        <v>1</v>
      </c>
      <c r="F438">
        <v>298</v>
      </c>
      <c r="G438">
        <v>0.41665999999999997</v>
      </c>
      <c r="H438">
        <v>200</v>
      </c>
      <c r="I438">
        <v>2</v>
      </c>
      <c r="J438">
        <v>192.25</v>
      </c>
      <c r="K438">
        <v>7.7499912629526602</v>
      </c>
      <c r="L438">
        <v>7.75</v>
      </c>
      <c r="M438">
        <v>0.99999887263905296</v>
      </c>
      <c r="N438" s="1"/>
    </row>
    <row r="439" spans="1:14" x14ac:dyDescent="0.3">
      <c r="A439" t="s">
        <v>62</v>
      </c>
      <c r="B439">
        <v>2391</v>
      </c>
      <c r="C439">
        <v>1.276</v>
      </c>
      <c r="E439">
        <v>1</v>
      </c>
      <c r="F439">
        <v>298</v>
      </c>
      <c r="G439">
        <v>0.83333000000000002</v>
      </c>
      <c r="H439">
        <v>200</v>
      </c>
      <c r="I439">
        <v>2</v>
      </c>
      <c r="J439">
        <v>186.625</v>
      </c>
      <c r="K439">
        <v>13.3749911511939</v>
      </c>
      <c r="L439">
        <v>13.375</v>
      </c>
      <c r="M439">
        <v>0.99999933840702049</v>
      </c>
      <c r="N439" s="1"/>
    </row>
    <row r="440" spans="1:14" x14ac:dyDescent="0.3">
      <c r="A440" t="s">
        <v>62</v>
      </c>
      <c r="B440">
        <v>2391</v>
      </c>
      <c r="C440">
        <v>1.276</v>
      </c>
      <c r="E440">
        <v>1</v>
      </c>
      <c r="F440">
        <v>298</v>
      </c>
      <c r="G440">
        <v>1.25</v>
      </c>
      <c r="H440">
        <v>200</v>
      </c>
      <c r="I440">
        <v>2</v>
      </c>
      <c r="J440">
        <v>182.75</v>
      </c>
      <c r="K440">
        <v>17.249998703599001</v>
      </c>
      <c r="L440">
        <v>17.25</v>
      </c>
      <c r="M440">
        <v>0.99999992484631894</v>
      </c>
      <c r="N440" s="1"/>
    </row>
    <row r="441" spans="1:14" x14ac:dyDescent="0.3">
      <c r="A441" t="s">
        <v>62</v>
      </c>
      <c r="B441">
        <v>2391</v>
      </c>
      <c r="C441">
        <v>1.276</v>
      </c>
      <c r="E441">
        <v>1</v>
      </c>
      <c r="F441">
        <v>298</v>
      </c>
      <c r="G441">
        <v>2.5</v>
      </c>
      <c r="H441">
        <v>200</v>
      </c>
      <c r="I441">
        <v>2</v>
      </c>
      <c r="J441">
        <v>178.375</v>
      </c>
      <c r="K441">
        <v>21.624998616675501</v>
      </c>
      <c r="L441">
        <v>21.625</v>
      </c>
      <c r="M441">
        <v>0.99999993603123705</v>
      </c>
      <c r="N441" s="1"/>
    </row>
    <row r="442" spans="1:14" x14ac:dyDescent="0.3">
      <c r="A442" t="s">
        <v>62</v>
      </c>
      <c r="B442">
        <v>2391</v>
      </c>
      <c r="C442">
        <v>1.276</v>
      </c>
      <c r="E442">
        <v>1</v>
      </c>
      <c r="F442">
        <v>298</v>
      </c>
      <c r="G442">
        <v>5</v>
      </c>
      <c r="H442">
        <v>200</v>
      </c>
      <c r="I442">
        <v>2</v>
      </c>
      <c r="J442">
        <v>174</v>
      </c>
      <c r="K442">
        <v>25.999998529752101</v>
      </c>
      <c r="L442">
        <v>26</v>
      </c>
      <c r="M442">
        <v>0.99999994345200394</v>
      </c>
      <c r="N442" s="1"/>
    </row>
    <row r="443" spans="1:14" x14ac:dyDescent="0.3">
      <c r="A443" t="s">
        <v>63</v>
      </c>
      <c r="B443">
        <v>1730</v>
      </c>
      <c r="C443">
        <v>1.012</v>
      </c>
      <c r="E443">
        <v>1</v>
      </c>
      <c r="F443">
        <v>298</v>
      </c>
      <c r="G443">
        <v>0.41665999999999997</v>
      </c>
      <c r="H443">
        <v>200</v>
      </c>
      <c r="I443">
        <v>2</v>
      </c>
      <c r="J443">
        <v>188.75</v>
      </c>
      <c r="K443">
        <v>11.2499997764825</v>
      </c>
      <c r="L443">
        <v>11.25</v>
      </c>
      <c r="M443">
        <v>0.99999998013177782</v>
      </c>
      <c r="N443" s="1"/>
    </row>
    <row r="444" spans="1:14" x14ac:dyDescent="0.3">
      <c r="A444" t="s">
        <v>63</v>
      </c>
      <c r="B444">
        <v>1730</v>
      </c>
      <c r="C444">
        <v>1.012</v>
      </c>
      <c r="E444">
        <v>1</v>
      </c>
      <c r="F444">
        <v>298</v>
      </c>
      <c r="G444">
        <v>0.83333000000000002</v>
      </c>
      <c r="H444">
        <v>200</v>
      </c>
      <c r="I444">
        <v>2</v>
      </c>
      <c r="J444">
        <v>182.875</v>
      </c>
      <c r="K444">
        <v>17.124991076688101</v>
      </c>
      <c r="L444">
        <v>17.125</v>
      </c>
      <c r="M444">
        <v>0.99999947893069197</v>
      </c>
      <c r="N444" s="1"/>
    </row>
    <row r="445" spans="1:14" x14ac:dyDescent="0.3">
      <c r="A445" t="s">
        <v>63</v>
      </c>
      <c r="B445">
        <v>1730</v>
      </c>
      <c r="C445">
        <v>1.012</v>
      </c>
      <c r="E445">
        <v>1</v>
      </c>
      <c r="F445">
        <v>298</v>
      </c>
      <c r="G445">
        <v>1.25</v>
      </c>
      <c r="H445">
        <v>200</v>
      </c>
      <c r="I445">
        <v>2</v>
      </c>
      <c r="J445">
        <v>179.25</v>
      </c>
      <c r="K445">
        <v>20.7500024487574</v>
      </c>
      <c r="L445">
        <v>20.75</v>
      </c>
      <c r="M445">
        <v>1.0000001180124047</v>
      </c>
      <c r="N445" s="1"/>
    </row>
    <row r="446" spans="1:14" x14ac:dyDescent="0.3">
      <c r="A446" t="s">
        <v>63</v>
      </c>
      <c r="B446">
        <v>1730</v>
      </c>
      <c r="C446">
        <v>1.012</v>
      </c>
      <c r="E446">
        <v>1</v>
      </c>
      <c r="F446">
        <v>298</v>
      </c>
      <c r="G446">
        <v>2.5</v>
      </c>
      <c r="H446">
        <v>200</v>
      </c>
      <c r="I446">
        <v>2</v>
      </c>
      <c r="J446">
        <v>175</v>
      </c>
      <c r="K446">
        <v>24.9999995032946</v>
      </c>
      <c r="L446">
        <v>25</v>
      </c>
      <c r="M446">
        <v>0.99999998013178404</v>
      </c>
      <c r="N446" s="1"/>
    </row>
    <row r="447" spans="1:14" x14ac:dyDescent="0.3">
      <c r="A447" t="s">
        <v>63</v>
      </c>
      <c r="B447">
        <v>1730</v>
      </c>
      <c r="C447">
        <v>1.012</v>
      </c>
      <c r="E447">
        <v>1</v>
      </c>
      <c r="F447">
        <v>298</v>
      </c>
      <c r="G447">
        <v>5</v>
      </c>
      <c r="H447">
        <v>200</v>
      </c>
      <c r="I447">
        <v>2</v>
      </c>
      <c r="J447">
        <v>169.25</v>
      </c>
      <c r="K447">
        <v>30.750002250075202</v>
      </c>
      <c r="L447">
        <v>30.75</v>
      </c>
      <c r="M447">
        <v>1.0000000731731773</v>
      </c>
      <c r="N447" s="1"/>
    </row>
    <row r="448" spans="1:14" x14ac:dyDescent="0.3">
      <c r="A448" t="s">
        <v>60</v>
      </c>
      <c r="B448">
        <v>1387</v>
      </c>
      <c r="C448">
        <v>0.877</v>
      </c>
      <c r="E448">
        <v>1</v>
      </c>
      <c r="F448">
        <v>298</v>
      </c>
      <c r="G448">
        <v>0.41665999999999997</v>
      </c>
      <c r="H448">
        <v>200</v>
      </c>
      <c r="I448">
        <v>2</v>
      </c>
      <c r="J448">
        <v>186.625</v>
      </c>
      <c r="K448">
        <v>13.3749911511939</v>
      </c>
      <c r="L448">
        <v>13.375</v>
      </c>
      <c r="M448">
        <v>0.99999933840702049</v>
      </c>
      <c r="N448" s="1"/>
    </row>
    <row r="449" spans="1:14" x14ac:dyDescent="0.3">
      <c r="A449" t="s">
        <v>60</v>
      </c>
      <c r="B449">
        <v>1387</v>
      </c>
      <c r="C449">
        <v>0.877</v>
      </c>
      <c r="E449">
        <v>1</v>
      </c>
      <c r="F449">
        <v>298</v>
      </c>
      <c r="G449">
        <v>0.83333000000000002</v>
      </c>
      <c r="H449">
        <v>200</v>
      </c>
      <c r="I449">
        <v>2</v>
      </c>
      <c r="J449">
        <v>177.625</v>
      </c>
      <c r="K449">
        <v>22.3750014627973</v>
      </c>
      <c r="L449">
        <v>22.375</v>
      </c>
      <c r="M449">
        <v>1.0000000653764156</v>
      </c>
      <c r="N449" s="1"/>
    </row>
    <row r="450" spans="1:14" x14ac:dyDescent="0.3">
      <c r="A450" t="s">
        <v>60</v>
      </c>
      <c r="B450">
        <v>1387</v>
      </c>
      <c r="C450">
        <v>0.877</v>
      </c>
      <c r="E450">
        <v>1</v>
      </c>
      <c r="F450">
        <v>298</v>
      </c>
      <c r="G450">
        <v>1.25</v>
      </c>
      <c r="H450">
        <v>200</v>
      </c>
      <c r="I450">
        <v>2</v>
      </c>
      <c r="J450">
        <v>170.875</v>
      </c>
      <c r="K450">
        <v>29.1249984676639</v>
      </c>
      <c r="L450">
        <v>29.125</v>
      </c>
      <c r="M450">
        <v>0.99999994738760167</v>
      </c>
      <c r="N450" s="1"/>
    </row>
    <row r="451" spans="1:14" x14ac:dyDescent="0.3">
      <c r="A451" t="s">
        <v>60</v>
      </c>
      <c r="B451">
        <v>1387</v>
      </c>
      <c r="C451">
        <v>0.877</v>
      </c>
      <c r="E451">
        <v>1</v>
      </c>
      <c r="F451">
        <v>298</v>
      </c>
      <c r="G451">
        <v>2.5</v>
      </c>
      <c r="H451">
        <v>200</v>
      </c>
      <c r="I451">
        <v>2</v>
      </c>
      <c r="J451">
        <v>159.5</v>
      </c>
      <c r="K451">
        <v>40.5000011026859</v>
      </c>
      <c r="L451">
        <v>40.5</v>
      </c>
      <c r="M451">
        <v>1.0000000272268124</v>
      </c>
      <c r="N451" s="1"/>
    </row>
    <row r="452" spans="1:14" x14ac:dyDescent="0.3">
      <c r="A452" t="s">
        <v>60</v>
      </c>
      <c r="B452">
        <v>1387</v>
      </c>
      <c r="C452">
        <v>0.877</v>
      </c>
      <c r="E452">
        <v>1</v>
      </c>
      <c r="F452">
        <v>298</v>
      </c>
      <c r="G452">
        <v>5</v>
      </c>
      <c r="H452">
        <v>200</v>
      </c>
      <c r="I452">
        <v>2</v>
      </c>
      <c r="J452">
        <v>150.5</v>
      </c>
      <c r="K452">
        <v>49.499999493360498</v>
      </c>
      <c r="L452">
        <v>49.5</v>
      </c>
      <c r="M452">
        <v>0.9999999897648586</v>
      </c>
      <c r="N452" s="1"/>
    </row>
    <row r="453" spans="1:14" x14ac:dyDescent="0.3">
      <c r="A453" t="s">
        <v>64</v>
      </c>
      <c r="B453">
        <v>944</v>
      </c>
      <c r="C453">
        <v>0.63900000000000001</v>
      </c>
      <c r="E453">
        <v>1</v>
      </c>
      <c r="F453">
        <v>298</v>
      </c>
      <c r="G453">
        <v>0.41665999999999997</v>
      </c>
      <c r="H453">
        <v>200</v>
      </c>
      <c r="I453">
        <v>2</v>
      </c>
      <c r="J453">
        <v>185</v>
      </c>
      <c r="K453">
        <v>14.9999997019767</v>
      </c>
      <c r="L453">
        <v>15</v>
      </c>
      <c r="M453">
        <v>0.99999998013177993</v>
      </c>
      <c r="N453" s="1"/>
    </row>
    <row r="454" spans="1:14" x14ac:dyDescent="0.3">
      <c r="A454" t="s">
        <v>64</v>
      </c>
      <c r="B454">
        <v>944</v>
      </c>
      <c r="C454">
        <v>0.63900000000000001</v>
      </c>
      <c r="E454">
        <v>1</v>
      </c>
      <c r="F454">
        <v>298</v>
      </c>
      <c r="G454">
        <v>0.83333000000000002</v>
      </c>
      <c r="H454">
        <v>200</v>
      </c>
      <c r="I454">
        <v>2</v>
      </c>
      <c r="J454">
        <v>176.25</v>
      </c>
      <c r="K454">
        <v>23.749999528129901</v>
      </c>
      <c r="L454">
        <v>23.75</v>
      </c>
      <c r="M454">
        <v>0.99999998013178537</v>
      </c>
      <c r="N454" s="1"/>
    </row>
    <row r="455" spans="1:14" x14ac:dyDescent="0.3">
      <c r="A455" t="s">
        <v>64</v>
      </c>
      <c r="B455">
        <v>944</v>
      </c>
      <c r="C455">
        <v>0.63900000000000001</v>
      </c>
      <c r="E455">
        <v>1</v>
      </c>
      <c r="F455">
        <v>298</v>
      </c>
      <c r="G455">
        <v>1.25</v>
      </c>
      <c r="H455">
        <v>200</v>
      </c>
      <c r="I455">
        <v>2</v>
      </c>
      <c r="J455">
        <v>171.875</v>
      </c>
      <c r="K455">
        <v>28.124999441206398</v>
      </c>
      <c r="L455">
        <v>28.125</v>
      </c>
      <c r="M455">
        <v>0.99999998013178304</v>
      </c>
      <c r="N455" s="1"/>
    </row>
    <row r="456" spans="1:14" x14ac:dyDescent="0.3">
      <c r="A456" t="s">
        <v>64</v>
      </c>
      <c r="B456">
        <v>944</v>
      </c>
      <c r="C456">
        <v>0.63900000000000001</v>
      </c>
      <c r="E456">
        <v>1</v>
      </c>
      <c r="F456">
        <v>298</v>
      </c>
      <c r="G456">
        <v>2.5</v>
      </c>
      <c r="H456">
        <v>200</v>
      </c>
      <c r="I456">
        <v>2</v>
      </c>
      <c r="J456">
        <v>165.75</v>
      </c>
      <c r="K456">
        <v>34.250001226862203</v>
      </c>
      <c r="L456">
        <v>34.25</v>
      </c>
      <c r="M456">
        <v>1.0000000358207943</v>
      </c>
      <c r="N456" s="1"/>
    </row>
    <row r="457" spans="1:14" x14ac:dyDescent="0.3">
      <c r="A457" t="s">
        <v>64</v>
      </c>
      <c r="B457">
        <v>944</v>
      </c>
      <c r="C457">
        <v>0.63900000000000001</v>
      </c>
      <c r="E457">
        <v>1</v>
      </c>
      <c r="F457">
        <v>298</v>
      </c>
      <c r="G457">
        <v>5</v>
      </c>
      <c r="H457">
        <v>200</v>
      </c>
      <c r="I457">
        <v>2</v>
      </c>
      <c r="J457">
        <v>159.625</v>
      </c>
      <c r="K457">
        <v>40.374995859960798</v>
      </c>
      <c r="L457">
        <v>40.375</v>
      </c>
      <c r="M457">
        <v>0.99999989746032936</v>
      </c>
      <c r="N457" s="1"/>
    </row>
    <row r="458" spans="1:14" x14ac:dyDescent="0.3">
      <c r="A458" t="s">
        <v>61</v>
      </c>
      <c r="B458">
        <v>2989</v>
      </c>
      <c r="C458">
        <v>1.645</v>
      </c>
      <c r="E458">
        <v>1</v>
      </c>
      <c r="F458">
        <v>298</v>
      </c>
      <c r="G458">
        <v>1.5</v>
      </c>
      <c r="H458">
        <v>24.8276</v>
      </c>
      <c r="I458">
        <v>2</v>
      </c>
      <c r="J458">
        <v>0.42690545865147261</v>
      </c>
      <c r="K458">
        <v>24.400659445927683</v>
      </c>
      <c r="L458">
        <v>24.400694541348528</v>
      </c>
      <c r="M458">
        <v>0.99999856170402091</v>
      </c>
      <c r="N458" s="1"/>
    </row>
    <row r="459" spans="1:14" x14ac:dyDescent="0.3">
      <c r="A459" t="s">
        <v>61</v>
      </c>
      <c r="B459">
        <v>2989</v>
      </c>
      <c r="C459">
        <v>1.645</v>
      </c>
      <c r="E459">
        <v>1</v>
      </c>
      <c r="F459">
        <v>298</v>
      </c>
      <c r="G459">
        <v>1.5</v>
      </c>
      <c r="H459">
        <v>50.192500000000003</v>
      </c>
      <c r="I459">
        <v>2</v>
      </c>
      <c r="J459">
        <v>1.1524211637349895</v>
      </c>
      <c r="K459">
        <v>49.040081792984836</v>
      </c>
      <c r="L459">
        <v>49.04007883626501</v>
      </c>
      <c r="M459">
        <v>1.0000000602919061</v>
      </c>
      <c r="N459" s="1"/>
    </row>
    <row r="460" spans="1:14" x14ac:dyDescent="0.3">
      <c r="A460" t="s">
        <v>61</v>
      </c>
      <c r="B460">
        <v>2989</v>
      </c>
      <c r="C460">
        <v>1.645</v>
      </c>
      <c r="E460">
        <v>1</v>
      </c>
      <c r="F460">
        <v>298</v>
      </c>
      <c r="G460">
        <v>1.5</v>
      </c>
      <c r="H460">
        <v>74.350399999999993</v>
      </c>
      <c r="I460">
        <v>2</v>
      </c>
      <c r="J460">
        <v>10.332792763555075</v>
      </c>
      <c r="K460">
        <v>64.017563265154067</v>
      </c>
      <c r="L460">
        <v>64.017607236444917</v>
      </c>
      <c r="M460">
        <v>0.99999931313754531</v>
      </c>
      <c r="N460" s="1"/>
    </row>
    <row r="461" spans="1:14" x14ac:dyDescent="0.3">
      <c r="A461" t="s">
        <v>61</v>
      </c>
      <c r="B461">
        <v>2989</v>
      </c>
      <c r="C461">
        <v>1.645</v>
      </c>
      <c r="E461">
        <v>1</v>
      </c>
      <c r="F461">
        <v>298</v>
      </c>
      <c r="G461">
        <v>1.5</v>
      </c>
      <c r="H461">
        <v>100.4066</v>
      </c>
      <c r="I461">
        <v>2</v>
      </c>
      <c r="J461">
        <v>23.941249891013882</v>
      </c>
      <c r="K461">
        <v>76.465332585430829</v>
      </c>
      <c r="L461">
        <v>76.465350108986115</v>
      </c>
      <c r="M461">
        <v>0.99999977083011771</v>
      </c>
      <c r="N461" s="1"/>
    </row>
    <row r="462" spans="1:14" x14ac:dyDescent="0.3">
      <c r="A462" t="s">
        <v>61</v>
      </c>
      <c r="B462">
        <v>2989</v>
      </c>
      <c r="C462">
        <v>1.645</v>
      </c>
      <c r="E462">
        <v>1</v>
      </c>
      <c r="F462">
        <v>298</v>
      </c>
      <c r="G462">
        <v>1.5</v>
      </c>
      <c r="H462">
        <v>150.881</v>
      </c>
      <c r="I462">
        <v>2</v>
      </c>
      <c r="J462">
        <v>66.779648463738397</v>
      </c>
      <c r="K462">
        <v>84.101388634080934</v>
      </c>
      <c r="L462">
        <v>84.101351536261603</v>
      </c>
      <c r="M462">
        <v>1.00000044110848</v>
      </c>
      <c r="N462" s="1"/>
    </row>
    <row r="463" spans="1:14" x14ac:dyDescent="0.3">
      <c r="A463" t="s">
        <v>61</v>
      </c>
      <c r="B463">
        <v>2989</v>
      </c>
      <c r="C463">
        <v>1.645</v>
      </c>
      <c r="E463">
        <v>1</v>
      </c>
      <c r="F463">
        <v>298</v>
      </c>
      <c r="G463">
        <v>1.5</v>
      </c>
      <c r="H463">
        <v>199.5668</v>
      </c>
      <c r="I463">
        <v>2</v>
      </c>
      <c r="J463">
        <v>112.75421090673585</v>
      </c>
      <c r="K463">
        <v>86.812586330138188</v>
      </c>
      <c r="L463">
        <v>86.812589093264151</v>
      </c>
      <c r="M463">
        <v>0.99999996817136783</v>
      </c>
      <c r="N463" s="1"/>
    </row>
    <row r="464" spans="1:14" x14ac:dyDescent="0.3">
      <c r="A464" t="s">
        <v>61</v>
      </c>
      <c r="B464">
        <v>2989</v>
      </c>
      <c r="C464">
        <v>1.645</v>
      </c>
      <c r="E464">
        <v>1</v>
      </c>
      <c r="F464">
        <v>298</v>
      </c>
      <c r="G464">
        <v>1.5</v>
      </c>
      <c r="H464">
        <v>250.06059999999999</v>
      </c>
      <c r="I464">
        <v>2</v>
      </c>
      <c r="J464">
        <v>159.87898488383013</v>
      </c>
      <c r="K464">
        <v>90.181631265757829</v>
      </c>
      <c r="L464">
        <v>90.181615116169866</v>
      </c>
      <c r="M464">
        <v>1.0000001790784956</v>
      </c>
      <c r="N464" s="1"/>
    </row>
    <row r="465" spans="1:14" x14ac:dyDescent="0.3">
      <c r="A465" t="s">
        <v>61</v>
      </c>
      <c r="B465">
        <v>2989</v>
      </c>
      <c r="C465">
        <v>1.645</v>
      </c>
      <c r="E465">
        <v>1</v>
      </c>
      <c r="F465">
        <v>298</v>
      </c>
      <c r="G465">
        <v>1.5</v>
      </c>
      <c r="H465">
        <v>306.60890000000001</v>
      </c>
      <c r="I465">
        <v>2</v>
      </c>
      <c r="J465">
        <v>212.33113837267919</v>
      </c>
      <c r="K465">
        <v>94.277801713170092</v>
      </c>
      <c r="L465">
        <v>94.277761627320814</v>
      </c>
      <c r="M465">
        <v>1.0000004251888099</v>
      </c>
      <c r="N465" s="1"/>
    </row>
    <row r="466" spans="1:14" x14ac:dyDescent="0.3">
      <c r="A466" t="s">
        <v>62</v>
      </c>
      <c r="B466">
        <v>2391</v>
      </c>
      <c r="C466">
        <v>1.276</v>
      </c>
      <c r="E466">
        <v>1</v>
      </c>
      <c r="F466">
        <v>298</v>
      </c>
      <c r="G466">
        <v>1.5</v>
      </c>
      <c r="H466">
        <v>24.751300000000001</v>
      </c>
      <c r="I466">
        <v>2</v>
      </c>
      <c r="J466">
        <v>3.6642136221110015</v>
      </c>
      <c r="K466">
        <v>21.087046443220181</v>
      </c>
      <c r="L466">
        <v>21.087086377888998</v>
      </c>
      <c r="M466">
        <v>0.99999810620262564</v>
      </c>
      <c r="N466" s="1"/>
    </row>
    <row r="467" spans="1:14" x14ac:dyDescent="0.3">
      <c r="A467" t="s">
        <v>62</v>
      </c>
      <c r="B467">
        <v>2391</v>
      </c>
      <c r="C467">
        <v>1.276</v>
      </c>
      <c r="E467">
        <v>1</v>
      </c>
      <c r="F467">
        <v>298</v>
      </c>
      <c r="G467">
        <v>1.5</v>
      </c>
      <c r="H467">
        <v>50.075400000000002</v>
      </c>
      <c r="I467">
        <v>2</v>
      </c>
      <c r="J467">
        <v>6.6054895425191553</v>
      </c>
      <c r="K467">
        <v>43.469908503121914</v>
      </c>
      <c r="L467">
        <v>43.46991045748085</v>
      </c>
      <c r="M467">
        <v>0.99999995504110972</v>
      </c>
      <c r="N467" s="1"/>
    </row>
    <row r="468" spans="1:14" x14ac:dyDescent="0.3">
      <c r="A468" t="s">
        <v>62</v>
      </c>
      <c r="B468">
        <v>2391</v>
      </c>
      <c r="C468">
        <v>1.276</v>
      </c>
      <c r="E468">
        <v>1</v>
      </c>
      <c r="F468">
        <v>298</v>
      </c>
      <c r="G468">
        <v>1.5</v>
      </c>
      <c r="H468">
        <v>74.322299999999998</v>
      </c>
      <c r="I468">
        <v>2</v>
      </c>
      <c r="J468">
        <v>12.304019911416246</v>
      </c>
      <c r="K468">
        <v>62.018264806614368</v>
      </c>
      <c r="L468">
        <v>62.018280088583751</v>
      </c>
      <c r="M468">
        <v>0.99999975358927462</v>
      </c>
      <c r="N468" s="1"/>
    </row>
    <row r="469" spans="1:14" x14ac:dyDescent="0.3">
      <c r="A469" t="s">
        <v>62</v>
      </c>
      <c r="B469">
        <v>2391</v>
      </c>
      <c r="C469">
        <v>1.276</v>
      </c>
      <c r="E469">
        <v>1</v>
      </c>
      <c r="F469">
        <v>298</v>
      </c>
      <c r="G469">
        <v>1.5</v>
      </c>
      <c r="H469">
        <v>99.439899999999994</v>
      </c>
      <c r="I469">
        <v>2</v>
      </c>
      <c r="J469">
        <v>17.446406971518694</v>
      </c>
      <c r="K469">
        <v>81.993514492795015</v>
      </c>
      <c r="L469">
        <v>81.993493028481296</v>
      </c>
      <c r="M469">
        <v>1.0000002617806965</v>
      </c>
      <c r="N469" s="1"/>
    </row>
    <row r="470" spans="1:14" x14ac:dyDescent="0.3">
      <c r="A470" t="s">
        <v>62</v>
      </c>
      <c r="B470">
        <v>2391</v>
      </c>
      <c r="C470">
        <v>1.276</v>
      </c>
      <c r="E470">
        <v>1</v>
      </c>
      <c r="F470">
        <v>298</v>
      </c>
      <c r="G470">
        <v>1.5</v>
      </c>
      <c r="H470">
        <v>150.3503</v>
      </c>
      <c r="I470">
        <v>2</v>
      </c>
      <c r="J470">
        <v>55.472313892133108</v>
      </c>
      <c r="K470">
        <v>94.87795407007718</v>
      </c>
      <c r="L470">
        <v>94.877986107866889</v>
      </c>
      <c r="M470">
        <v>0.99999966232641502</v>
      </c>
      <c r="N470" s="1"/>
    </row>
    <row r="471" spans="1:14" x14ac:dyDescent="0.3">
      <c r="A471" t="s">
        <v>62</v>
      </c>
      <c r="B471">
        <v>2391</v>
      </c>
      <c r="C471">
        <v>1.276</v>
      </c>
      <c r="E471">
        <v>1</v>
      </c>
      <c r="F471">
        <v>298</v>
      </c>
      <c r="G471">
        <v>1.5</v>
      </c>
      <c r="H471">
        <v>202.06450000000001</v>
      </c>
      <c r="I471">
        <v>2</v>
      </c>
      <c r="J471">
        <v>93.662010715181438</v>
      </c>
      <c r="K471">
        <v>108.40252367336755</v>
      </c>
      <c r="L471">
        <v>108.40248928481857</v>
      </c>
      <c r="M471">
        <v>1.0000003172302518</v>
      </c>
      <c r="N471" s="1"/>
    </row>
    <row r="472" spans="1:14" x14ac:dyDescent="0.3">
      <c r="A472" t="s">
        <v>62</v>
      </c>
      <c r="B472">
        <v>2391</v>
      </c>
      <c r="C472">
        <v>1.276</v>
      </c>
      <c r="E472">
        <v>1</v>
      </c>
      <c r="F472">
        <v>298</v>
      </c>
      <c r="G472">
        <v>1.5</v>
      </c>
      <c r="H472">
        <v>253.46690000000001</v>
      </c>
      <c r="I472">
        <v>2</v>
      </c>
      <c r="J472">
        <v>137.22721267197193</v>
      </c>
      <c r="K472">
        <v>116.23965521810257</v>
      </c>
      <c r="L472">
        <v>116.23968732802808</v>
      </c>
      <c r="M472">
        <v>0.99999972376108148</v>
      </c>
      <c r="N472" s="1"/>
    </row>
    <row r="473" spans="1:14" x14ac:dyDescent="0.3">
      <c r="A473" t="s">
        <v>62</v>
      </c>
      <c r="B473">
        <v>2391</v>
      </c>
      <c r="C473">
        <v>1.276</v>
      </c>
      <c r="E473">
        <v>1</v>
      </c>
      <c r="F473">
        <v>298</v>
      </c>
      <c r="G473">
        <v>1.5</v>
      </c>
      <c r="H473">
        <v>302.99889999999999</v>
      </c>
      <c r="I473">
        <v>2</v>
      </c>
      <c r="J473">
        <v>182.24820993230344</v>
      </c>
      <c r="K473">
        <v>120.75071332943955</v>
      </c>
      <c r="L473">
        <v>120.75069006769655</v>
      </c>
      <c r="M473">
        <v>1.0000001926427333</v>
      </c>
      <c r="N473" s="1"/>
    </row>
    <row r="474" spans="1:14" x14ac:dyDescent="0.3">
      <c r="A474" t="s">
        <v>62</v>
      </c>
      <c r="B474">
        <v>2391</v>
      </c>
      <c r="C474">
        <v>1.276</v>
      </c>
      <c r="E474">
        <v>1</v>
      </c>
      <c r="F474">
        <v>298</v>
      </c>
      <c r="G474">
        <v>1.5</v>
      </c>
      <c r="H474">
        <v>509.2835</v>
      </c>
      <c r="I474">
        <v>2</v>
      </c>
      <c r="J474">
        <v>370.44191538211783</v>
      </c>
      <c r="K474">
        <v>138.84161300339321</v>
      </c>
      <c r="L474">
        <v>138.84158461788218</v>
      </c>
      <c r="M474">
        <v>1.0000002044453116</v>
      </c>
      <c r="N474" s="1"/>
    </row>
    <row r="475" spans="1:14" x14ac:dyDescent="0.3">
      <c r="A475" t="s">
        <v>63</v>
      </c>
      <c r="B475">
        <v>1730</v>
      </c>
      <c r="C475">
        <v>1.012</v>
      </c>
      <c r="E475">
        <v>1</v>
      </c>
      <c r="F475">
        <v>298</v>
      </c>
      <c r="G475">
        <v>1.5</v>
      </c>
      <c r="H475">
        <v>24.8687</v>
      </c>
      <c r="I475">
        <v>2</v>
      </c>
      <c r="J475">
        <v>0.15642730574191208</v>
      </c>
      <c r="K475">
        <v>24.712307016381597</v>
      </c>
      <c r="L475">
        <v>24.71227269425809</v>
      </c>
      <c r="M475">
        <v>1.0000013888695682</v>
      </c>
      <c r="N475" s="1"/>
    </row>
    <row r="476" spans="1:14" x14ac:dyDescent="0.3">
      <c r="A476" t="s">
        <v>63</v>
      </c>
      <c r="B476">
        <v>1730</v>
      </c>
      <c r="C476">
        <v>1.012</v>
      </c>
      <c r="E476">
        <v>1</v>
      </c>
      <c r="F476">
        <v>298</v>
      </c>
      <c r="G476">
        <v>1.5</v>
      </c>
      <c r="H476">
        <v>50.088999999999999</v>
      </c>
      <c r="I476">
        <v>2</v>
      </c>
      <c r="J476">
        <v>0.73671330876572472</v>
      </c>
      <c r="K476">
        <v>49.352236590016552</v>
      </c>
      <c r="L476">
        <v>49.352286691234276</v>
      </c>
      <c r="M476">
        <v>0.99999898482479577</v>
      </c>
      <c r="N476" s="1"/>
    </row>
    <row r="477" spans="1:14" x14ac:dyDescent="0.3">
      <c r="A477" t="s">
        <v>63</v>
      </c>
      <c r="B477">
        <v>1730</v>
      </c>
      <c r="C477">
        <v>1.012</v>
      </c>
      <c r="E477">
        <v>1</v>
      </c>
      <c r="F477">
        <v>298</v>
      </c>
      <c r="G477">
        <v>1.5</v>
      </c>
      <c r="H477">
        <v>75.026200000000003</v>
      </c>
      <c r="I477">
        <v>2</v>
      </c>
      <c r="J477">
        <v>1.8831345526091681</v>
      </c>
      <c r="K477">
        <v>73.143076127425232</v>
      </c>
      <c r="L477">
        <v>73.143065447390839</v>
      </c>
      <c r="M477">
        <v>1.0000001460156793</v>
      </c>
      <c r="N477" s="1"/>
    </row>
    <row r="478" spans="1:14" x14ac:dyDescent="0.3">
      <c r="A478" t="s">
        <v>63</v>
      </c>
      <c r="B478">
        <v>1730</v>
      </c>
      <c r="C478">
        <v>1.012</v>
      </c>
      <c r="E478">
        <v>1</v>
      </c>
      <c r="F478">
        <v>298</v>
      </c>
      <c r="G478">
        <v>1.5</v>
      </c>
      <c r="H478">
        <v>98.709699999999998</v>
      </c>
      <c r="I478">
        <v>2</v>
      </c>
      <c r="J478">
        <v>5.0283049182693897</v>
      </c>
      <c r="K478">
        <v>93.681422954331694</v>
      </c>
      <c r="L478">
        <v>93.681395081730614</v>
      </c>
      <c r="M478">
        <v>1.0000002975254698</v>
      </c>
      <c r="N478" s="1"/>
    </row>
    <row r="479" spans="1:14" x14ac:dyDescent="0.3">
      <c r="A479" t="s">
        <v>63</v>
      </c>
      <c r="B479">
        <v>1730</v>
      </c>
      <c r="C479">
        <v>1.012</v>
      </c>
      <c r="E479">
        <v>1</v>
      </c>
      <c r="F479">
        <v>298</v>
      </c>
      <c r="G479">
        <v>1.5</v>
      </c>
      <c r="H479">
        <v>149.48759999999999</v>
      </c>
      <c r="I479">
        <v>2</v>
      </c>
      <c r="J479">
        <v>11.52420779944288</v>
      </c>
      <c r="K479">
        <v>137.96336766075822</v>
      </c>
      <c r="L479">
        <v>137.96339220055711</v>
      </c>
      <c r="M479">
        <v>0.99999982212818561</v>
      </c>
      <c r="N479" s="1"/>
    </row>
    <row r="480" spans="1:14" x14ac:dyDescent="0.3">
      <c r="A480" t="s">
        <v>63</v>
      </c>
      <c r="B480">
        <v>1730</v>
      </c>
      <c r="C480">
        <v>1.012</v>
      </c>
      <c r="E480">
        <v>1</v>
      </c>
      <c r="F480">
        <v>298</v>
      </c>
      <c r="G480">
        <v>1.5</v>
      </c>
      <c r="H480">
        <v>200.2364</v>
      </c>
      <c r="I480">
        <v>2</v>
      </c>
      <c r="J480">
        <v>45.579269797733161</v>
      </c>
      <c r="K480">
        <v>154.65717310084116</v>
      </c>
      <c r="L480">
        <v>154.65713020226684</v>
      </c>
      <c r="M480">
        <v>1.0000002773785746</v>
      </c>
      <c r="N480" s="1"/>
    </row>
    <row r="481" spans="1:14" x14ac:dyDescent="0.3">
      <c r="A481" t="s">
        <v>63</v>
      </c>
      <c r="B481">
        <v>1730</v>
      </c>
      <c r="C481">
        <v>1.012</v>
      </c>
      <c r="E481">
        <v>1</v>
      </c>
      <c r="F481">
        <v>298</v>
      </c>
      <c r="G481">
        <v>1.5</v>
      </c>
      <c r="H481">
        <v>251.024</v>
      </c>
      <c r="I481">
        <v>2</v>
      </c>
      <c r="J481">
        <v>83.067513962384695</v>
      </c>
      <c r="K481">
        <v>167.95650164910012</v>
      </c>
      <c r="L481">
        <v>167.95648603761532</v>
      </c>
      <c r="M481">
        <v>1.0000000929495798</v>
      </c>
      <c r="N481" s="1"/>
    </row>
    <row r="482" spans="1:14" x14ac:dyDescent="0.3">
      <c r="A482" t="s">
        <v>63</v>
      </c>
      <c r="B482">
        <v>1730</v>
      </c>
      <c r="C482">
        <v>1.012</v>
      </c>
      <c r="E482">
        <v>1</v>
      </c>
      <c r="F482">
        <v>298</v>
      </c>
      <c r="G482">
        <v>1.5</v>
      </c>
      <c r="H482">
        <v>302.90929999999997</v>
      </c>
      <c r="I482">
        <v>2</v>
      </c>
      <c r="J482">
        <v>132.80756443461829</v>
      </c>
      <c r="K482">
        <v>170.10169942660264</v>
      </c>
      <c r="L482">
        <v>170.10173556538169</v>
      </c>
      <c r="M482">
        <v>0.99999978754608865</v>
      </c>
      <c r="N482" s="1"/>
    </row>
    <row r="483" spans="1:14" x14ac:dyDescent="0.3">
      <c r="A483" t="s">
        <v>63</v>
      </c>
      <c r="B483">
        <v>1730</v>
      </c>
      <c r="C483">
        <v>1.012</v>
      </c>
      <c r="E483">
        <v>1</v>
      </c>
      <c r="F483">
        <v>298</v>
      </c>
      <c r="G483">
        <v>1.5</v>
      </c>
      <c r="H483">
        <v>502.80169999999998</v>
      </c>
      <c r="I483">
        <v>2</v>
      </c>
      <c r="J483">
        <v>324.97371256329103</v>
      </c>
      <c r="K483">
        <v>177.8279463847322</v>
      </c>
      <c r="L483">
        <v>177.82798743670895</v>
      </c>
      <c r="M483">
        <v>0.99999976914783018</v>
      </c>
      <c r="N483" s="1"/>
    </row>
    <row r="484" spans="1:14" x14ac:dyDescent="0.3">
      <c r="A484" t="s">
        <v>60</v>
      </c>
      <c r="B484">
        <v>1387</v>
      </c>
      <c r="C484">
        <v>0.877</v>
      </c>
      <c r="E484">
        <v>1</v>
      </c>
      <c r="F484">
        <v>298</v>
      </c>
      <c r="G484">
        <v>1.5</v>
      </c>
      <c r="H484">
        <v>25.215800000000002</v>
      </c>
      <c r="I484">
        <v>2</v>
      </c>
      <c r="J484">
        <v>2.8508620191546558E-2</v>
      </c>
      <c r="K484">
        <v>25.187269664218686</v>
      </c>
      <c r="L484">
        <v>25.187291379808453</v>
      </c>
      <c r="M484">
        <v>0.9999991378354488</v>
      </c>
      <c r="N484" s="1"/>
    </row>
    <row r="485" spans="1:14" x14ac:dyDescent="0.3">
      <c r="A485" t="s">
        <v>60</v>
      </c>
      <c r="B485">
        <v>1387</v>
      </c>
      <c r="C485">
        <v>0.877</v>
      </c>
      <c r="E485">
        <v>1</v>
      </c>
      <c r="F485">
        <v>298</v>
      </c>
      <c r="G485">
        <v>1.5</v>
      </c>
      <c r="H485">
        <v>50.053899999999999</v>
      </c>
      <c r="I485">
        <v>2</v>
      </c>
      <c r="J485">
        <v>7.1298518699532867E-2</v>
      </c>
      <c r="K485">
        <v>49.982604402561705</v>
      </c>
      <c r="L485">
        <v>49.982601481300463</v>
      </c>
      <c r="M485">
        <v>1.0000000584455622</v>
      </c>
      <c r="N485" s="1"/>
    </row>
    <row r="486" spans="1:14" x14ac:dyDescent="0.3">
      <c r="A486" t="s">
        <v>60</v>
      </c>
      <c r="B486">
        <v>1387</v>
      </c>
      <c r="C486">
        <v>0.877</v>
      </c>
      <c r="E486">
        <v>1</v>
      </c>
      <c r="F486">
        <v>298</v>
      </c>
      <c r="G486">
        <v>1.5</v>
      </c>
      <c r="H486">
        <v>75.370500000000007</v>
      </c>
      <c r="I486">
        <v>2</v>
      </c>
      <c r="J486">
        <v>0.82165949256010939</v>
      </c>
      <c r="K486">
        <v>74.548844642967282</v>
      </c>
      <c r="L486">
        <v>74.548840507439891</v>
      </c>
      <c r="M486">
        <v>1.0000000554740673</v>
      </c>
      <c r="N486" s="1"/>
    </row>
    <row r="487" spans="1:14" x14ac:dyDescent="0.3">
      <c r="A487" t="s">
        <v>60</v>
      </c>
      <c r="B487">
        <v>1387</v>
      </c>
      <c r="C487">
        <v>0.877</v>
      </c>
      <c r="E487">
        <v>1</v>
      </c>
      <c r="F487">
        <v>298</v>
      </c>
      <c r="G487">
        <v>1.5</v>
      </c>
      <c r="H487">
        <v>99.411199999999994</v>
      </c>
      <c r="I487">
        <v>2</v>
      </c>
      <c r="J487">
        <v>3.3214421084923829</v>
      </c>
      <c r="K487">
        <v>96.089767689715003</v>
      </c>
      <c r="L487">
        <v>96.089757891507617</v>
      </c>
      <c r="M487">
        <v>1.0000001019693212</v>
      </c>
      <c r="N487" s="1"/>
    </row>
    <row r="488" spans="1:14" x14ac:dyDescent="0.3">
      <c r="A488" t="s">
        <v>60</v>
      </c>
      <c r="B488">
        <v>1387</v>
      </c>
      <c r="C488">
        <v>0.877</v>
      </c>
      <c r="E488">
        <v>1</v>
      </c>
      <c r="F488">
        <v>298</v>
      </c>
      <c r="G488">
        <v>1.5</v>
      </c>
      <c r="H488">
        <v>149.0128</v>
      </c>
      <c r="I488">
        <v>2</v>
      </c>
      <c r="J488">
        <v>8.3978915139638914</v>
      </c>
      <c r="K488">
        <v>140.61494548362052</v>
      </c>
      <c r="L488">
        <v>140.61490848603611</v>
      </c>
      <c r="M488">
        <v>1.0000002631128151</v>
      </c>
      <c r="N488" s="1"/>
    </row>
    <row r="489" spans="1:14" x14ac:dyDescent="0.3">
      <c r="A489" t="s">
        <v>60</v>
      </c>
      <c r="B489">
        <v>1387</v>
      </c>
      <c r="C489">
        <v>0.877</v>
      </c>
      <c r="E489">
        <v>1</v>
      </c>
      <c r="F489">
        <v>298</v>
      </c>
      <c r="G489">
        <v>1.5</v>
      </c>
      <c r="H489">
        <v>200.99299999999999</v>
      </c>
      <c r="I489">
        <v>2</v>
      </c>
      <c r="J489">
        <v>12.713501492255038</v>
      </c>
      <c r="K489">
        <v>188.27950524423986</v>
      </c>
      <c r="L489">
        <v>188.27949850774496</v>
      </c>
      <c r="M489">
        <v>1.0000000357792269</v>
      </c>
      <c r="N489" s="1"/>
    </row>
    <row r="490" spans="1:14" x14ac:dyDescent="0.3">
      <c r="A490" t="s">
        <v>60</v>
      </c>
      <c r="B490">
        <v>1387</v>
      </c>
      <c r="C490">
        <v>0.877</v>
      </c>
      <c r="E490">
        <v>1</v>
      </c>
      <c r="F490">
        <v>298</v>
      </c>
      <c r="G490">
        <v>1.5</v>
      </c>
      <c r="H490">
        <v>249.1294</v>
      </c>
      <c r="I490">
        <v>2</v>
      </c>
      <c r="J490">
        <v>14.025529824391494</v>
      </c>
      <c r="K490">
        <v>235.10385287718921</v>
      </c>
      <c r="L490">
        <v>235.10387017560851</v>
      </c>
      <c r="M490">
        <v>0.99999992642222657</v>
      </c>
      <c r="N490" s="1"/>
    </row>
    <row r="491" spans="1:14" x14ac:dyDescent="0.3">
      <c r="A491" t="s">
        <v>60</v>
      </c>
      <c r="B491">
        <v>1387</v>
      </c>
      <c r="C491">
        <v>0.877</v>
      </c>
      <c r="E491">
        <v>1</v>
      </c>
      <c r="F491">
        <v>298</v>
      </c>
      <c r="G491">
        <v>1.5</v>
      </c>
      <c r="H491">
        <v>302.41730000000001</v>
      </c>
      <c r="I491">
        <v>2</v>
      </c>
      <c r="J491">
        <v>47.09624038890842</v>
      </c>
      <c r="K491">
        <v>255.32103956396904</v>
      </c>
      <c r="L491">
        <v>255.32105961109158</v>
      </c>
      <c r="M491">
        <v>0.9999999214826909</v>
      </c>
      <c r="N491" s="1"/>
    </row>
    <row r="492" spans="1:14" x14ac:dyDescent="0.3">
      <c r="A492" t="s">
        <v>60</v>
      </c>
      <c r="B492">
        <v>1387</v>
      </c>
      <c r="C492">
        <v>0.877</v>
      </c>
      <c r="E492">
        <v>1</v>
      </c>
      <c r="F492">
        <v>298</v>
      </c>
      <c r="G492">
        <v>1.5</v>
      </c>
      <c r="H492">
        <v>496.10480000000001</v>
      </c>
      <c r="I492">
        <v>2</v>
      </c>
      <c r="J492">
        <v>229.18680996211501</v>
      </c>
      <c r="K492">
        <v>266.9179984491156</v>
      </c>
      <c r="L492">
        <v>266.91799003788503</v>
      </c>
      <c r="M492">
        <v>1.0000000315124153</v>
      </c>
      <c r="N492" s="1"/>
    </row>
    <row r="493" spans="1:14" x14ac:dyDescent="0.3">
      <c r="A493" t="s">
        <v>64</v>
      </c>
      <c r="B493">
        <v>944</v>
      </c>
      <c r="C493">
        <v>0.63900000000000001</v>
      </c>
      <c r="E493">
        <v>1</v>
      </c>
      <c r="F493">
        <v>298</v>
      </c>
      <c r="G493">
        <v>1.5</v>
      </c>
      <c r="H493">
        <v>49.680500000000002</v>
      </c>
      <c r="I493">
        <v>2</v>
      </c>
      <c r="J493">
        <v>1.40255321598526E-2</v>
      </c>
      <c r="K493">
        <v>49.666426436641402</v>
      </c>
      <c r="L493">
        <v>49.666474467840146</v>
      </c>
      <c r="M493">
        <v>0.99999903292514203</v>
      </c>
      <c r="N493" s="1"/>
    </row>
    <row r="494" spans="1:14" x14ac:dyDescent="0.3">
      <c r="A494" t="s">
        <v>64</v>
      </c>
      <c r="B494">
        <v>944</v>
      </c>
      <c r="C494">
        <v>0.63900000000000001</v>
      </c>
      <c r="E494">
        <v>1</v>
      </c>
      <c r="F494">
        <v>298</v>
      </c>
      <c r="G494">
        <v>1.5</v>
      </c>
      <c r="H494">
        <v>74.049800000000005</v>
      </c>
      <c r="I494">
        <v>2</v>
      </c>
      <c r="J494">
        <v>0.44111263683946139</v>
      </c>
      <c r="K494">
        <v>73.608689333628547</v>
      </c>
      <c r="L494">
        <v>73.608687363160541</v>
      </c>
      <c r="M494">
        <v>1.0000000267695033</v>
      </c>
      <c r="N494" s="1"/>
    </row>
    <row r="495" spans="1:14" x14ac:dyDescent="0.3">
      <c r="A495" t="s">
        <v>64</v>
      </c>
      <c r="B495">
        <v>944</v>
      </c>
      <c r="C495">
        <v>0.63900000000000001</v>
      </c>
      <c r="E495">
        <v>1</v>
      </c>
      <c r="F495">
        <v>298</v>
      </c>
      <c r="G495">
        <v>1.5</v>
      </c>
      <c r="H495">
        <v>99.778999999999996</v>
      </c>
      <c r="I495">
        <v>2</v>
      </c>
      <c r="J495">
        <v>1.8424801785672602</v>
      </c>
      <c r="K495">
        <v>97.936558626544397</v>
      </c>
      <c r="L495">
        <v>97.936519821432739</v>
      </c>
      <c r="M495">
        <v>1.000000396227186</v>
      </c>
      <c r="N495" s="1"/>
    </row>
    <row r="496" spans="1:14" x14ac:dyDescent="0.3">
      <c r="A496" t="s">
        <v>64</v>
      </c>
      <c r="B496">
        <v>944</v>
      </c>
      <c r="C496">
        <v>0.63900000000000001</v>
      </c>
      <c r="E496">
        <v>1</v>
      </c>
      <c r="F496">
        <v>298</v>
      </c>
      <c r="G496">
        <v>1.5</v>
      </c>
      <c r="H496">
        <v>149.60749999999999</v>
      </c>
      <c r="I496">
        <v>2</v>
      </c>
      <c r="J496">
        <v>4.4595288747173969</v>
      </c>
      <c r="K496">
        <v>145.14798497818671</v>
      </c>
      <c r="L496">
        <v>145.1479711252826</v>
      </c>
      <c r="M496">
        <v>1.0000000954398742</v>
      </c>
      <c r="N496" s="1"/>
    </row>
    <row r="497" spans="1:14" x14ac:dyDescent="0.3">
      <c r="A497" t="s">
        <v>64</v>
      </c>
      <c r="B497">
        <v>944</v>
      </c>
      <c r="C497">
        <v>0.63900000000000001</v>
      </c>
      <c r="E497">
        <v>1</v>
      </c>
      <c r="F497">
        <v>298</v>
      </c>
      <c r="G497">
        <v>1.5</v>
      </c>
      <c r="H497">
        <v>199.5549</v>
      </c>
      <c r="I497">
        <v>2</v>
      </c>
      <c r="J497">
        <v>11.275415458095983</v>
      </c>
      <c r="K497">
        <v>188.27950524423986</v>
      </c>
      <c r="L497">
        <v>188.27948454190403</v>
      </c>
      <c r="M497">
        <v>1.0000001099553457</v>
      </c>
      <c r="N497" s="1"/>
    </row>
    <row r="498" spans="1:14" x14ac:dyDescent="0.3">
      <c r="A498" t="s">
        <v>64</v>
      </c>
      <c r="B498">
        <v>944</v>
      </c>
      <c r="C498">
        <v>0.63900000000000001</v>
      </c>
      <c r="E498">
        <v>1</v>
      </c>
      <c r="F498">
        <v>298</v>
      </c>
      <c r="G498">
        <v>1.5</v>
      </c>
      <c r="H498">
        <v>247.39439999999999</v>
      </c>
      <c r="I498">
        <v>2</v>
      </c>
      <c r="J498">
        <v>54.274649931253222</v>
      </c>
      <c r="K498">
        <v>193.11978339827124</v>
      </c>
      <c r="L498">
        <v>193.11975006874678</v>
      </c>
      <c r="M498">
        <v>1.0000001725847534</v>
      </c>
      <c r="N498" s="1"/>
    </row>
    <row r="499" spans="1:14" x14ac:dyDescent="0.3">
      <c r="A499" t="s">
        <v>64</v>
      </c>
      <c r="B499">
        <v>944</v>
      </c>
      <c r="C499">
        <v>0.63900000000000001</v>
      </c>
      <c r="E499">
        <v>1</v>
      </c>
      <c r="F499">
        <v>298</v>
      </c>
      <c r="G499">
        <v>1.5</v>
      </c>
      <c r="H499">
        <v>302.98880000000003</v>
      </c>
      <c r="I499">
        <v>2</v>
      </c>
      <c r="J499">
        <v>101.09726540802039</v>
      </c>
      <c r="K499">
        <v>201.89154255214939</v>
      </c>
      <c r="L499">
        <v>201.89153459197962</v>
      </c>
      <c r="M499">
        <v>1.0000000394279522</v>
      </c>
      <c r="N499" s="1"/>
    </row>
    <row r="500" spans="1:14" x14ac:dyDescent="0.3">
      <c r="A500" t="s">
        <v>64</v>
      </c>
      <c r="B500">
        <v>944</v>
      </c>
      <c r="C500">
        <v>0.63900000000000001</v>
      </c>
      <c r="E500">
        <v>1</v>
      </c>
      <c r="F500">
        <v>298</v>
      </c>
      <c r="G500">
        <v>1.5</v>
      </c>
      <c r="H500">
        <v>503.58</v>
      </c>
      <c r="I500">
        <v>2</v>
      </c>
      <c r="J500">
        <v>272.90944374316308</v>
      </c>
      <c r="K500">
        <v>230.67055235913696</v>
      </c>
      <c r="L500">
        <v>230.6705562568369</v>
      </c>
      <c r="M500">
        <v>0.99999998310274185</v>
      </c>
      <c r="N500" s="1"/>
    </row>
    <row r="501" spans="1:14" x14ac:dyDescent="0.3">
      <c r="A501" t="s">
        <v>66</v>
      </c>
      <c r="B501">
        <v>532.86</v>
      </c>
      <c r="C501">
        <v>0.21</v>
      </c>
      <c r="D501">
        <v>0.9</v>
      </c>
      <c r="E501">
        <v>0.48599999999999999</v>
      </c>
      <c r="F501">
        <v>298</v>
      </c>
      <c r="G501">
        <v>1</v>
      </c>
      <c r="H501">
        <v>12.419499999999999</v>
      </c>
      <c r="I501">
        <v>7</v>
      </c>
      <c r="J501">
        <v>10.239368700074399</v>
      </c>
      <c r="K501">
        <v>4.4859130176977402</v>
      </c>
      <c r="L501">
        <v>4.4858668722748973</v>
      </c>
      <c r="M501">
        <v>1.0000102868462566</v>
      </c>
      <c r="N501" s="1" t="s">
        <v>67</v>
      </c>
    </row>
    <row r="502" spans="1:14" x14ac:dyDescent="0.3">
      <c r="A502" t="s">
        <v>66</v>
      </c>
      <c r="B502">
        <v>532.86</v>
      </c>
      <c r="C502">
        <v>0.21</v>
      </c>
      <c r="D502">
        <v>0.9</v>
      </c>
      <c r="E502">
        <v>0.48599999999999999</v>
      </c>
      <c r="F502">
        <v>298</v>
      </c>
      <c r="G502">
        <v>1</v>
      </c>
      <c r="H502">
        <v>39.651899999999998</v>
      </c>
      <c r="I502">
        <v>7</v>
      </c>
      <c r="J502">
        <v>32.021277691239703</v>
      </c>
      <c r="K502">
        <v>15.7008666885545</v>
      </c>
      <c r="L502">
        <v>15.70086894806645</v>
      </c>
      <c r="M502">
        <v>0.99999985609000641</v>
      </c>
      <c r="N502" s="1"/>
    </row>
    <row r="503" spans="1:14" x14ac:dyDescent="0.3">
      <c r="A503" t="s">
        <v>66</v>
      </c>
      <c r="B503">
        <v>532.86</v>
      </c>
      <c r="C503">
        <v>0.21</v>
      </c>
      <c r="D503">
        <v>0.9</v>
      </c>
      <c r="E503">
        <v>0.48599999999999999</v>
      </c>
      <c r="F503">
        <v>298</v>
      </c>
      <c r="G503">
        <v>1</v>
      </c>
      <c r="H503">
        <v>104.5552</v>
      </c>
      <c r="I503">
        <v>7</v>
      </c>
      <c r="J503">
        <v>41.329788235098299</v>
      </c>
      <c r="K503">
        <v>130.093445469274</v>
      </c>
      <c r="L503">
        <v>130.09343984547675</v>
      </c>
      <c r="M503">
        <v>1.0000000432289073</v>
      </c>
      <c r="N503" s="1"/>
    </row>
    <row r="504" spans="1:14" x14ac:dyDescent="0.3">
      <c r="A504" t="s">
        <v>66</v>
      </c>
      <c r="B504">
        <v>532.86</v>
      </c>
      <c r="C504">
        <v>0.21</v>
      </c>
      <c r="D504">
        <v>0.9</v>
      </c>
      <c r="E504">
        <v>0.48599999999999999</v>
      </c>
      <c r="F504">
        <v>298</v>
      </c>
      <c r="G504">
        <v>1</v>
      </c>
      <c r="H504">
        <v>360.80790000000002</v>
      </c>
      <c r="I504">
        <v>7</v>
      </c>
      <c r="J504">
        <v>44.680857712351397</v>
      </c>
      <c r="K504">
        <v>650.46722734637501</v>
      </c>
      <c r="L504">
        <v>650.46716520092309</v>
      </c>
      <c r="M504">
        <v>1.0000000955397217</v>
      </c>
      <c r="N504" s="1"/>
    </row>
    <row r="505" spans="1:14" x14ac:dyDescent="0.3">
      <c r="A505" t="s">
        <v>66</v>
      </c>
      <c r="B505">
        <v>532.86</v>
      </c>
      <c r="C505">
        <v>0.21</v>
      </c>
      <c r="D505">
        <v>0.9</v>
      </c>
      <c r="E505">
        <v>0.48599999999999999</v>
      </c>
      <c r="F505">
        <v>298</v>
      </c>
      <c r="G505">
        <v>1</v>
      </c>
      <c r="H505">
        <v>542.16510000000005</v>
      </c>
      <c r="I505">
        <v>7</v>
      </c>
      <c r="J505">
        <v>53.803200886064801</v>
      </c>
      <c r="K505">
        <v>1004.85978901443</v>
      </c>
      <c r="L505">
        <v>1004.8598747200314</v>
      </c>
      <c r="M505">
        <v>0.9999999147089027</v>
      </c>
      <c r="N505" s="1"/>
    </row>
    <row r="506" spans="1:14" x14ac:dyDescent="0.3">
      <c r="A506" t="s">
        <v>66</v>
      </c>
      <c r="B506">
        <v>532.86</v>
      </c>
      <c r="C506">
        <v>0.21</v>
      </c>
      <c r="D506">
        <v>0.9</v>
      </c>
      <c r="E506">
        <v>0.48599999999999999</v>
      </c>
      <c r="F506">
        <v>298</v>
      </c>
      <c r="G506">
        <v>1</v>
      </c>
      <c r="H506">
        <v>700.74260000000004</v>
      </c>
      <c r="I506">
        <v>7</v>
      </c>
      <c r="J506">
        <v>82.659583572026605</v>
      </c>
      <c r="K506">
        <v>1271.7756992153099</v>
      </c>
      <c r="L506">
        <v>1271.7757539670235</v>
      </c>
      <c r="M506">
        <v>0.99999995694861032</v>
      </c>
      <c r="N506" s="1"/>
    </row>
    <row r="507" spans="1:14" x14ac:dyDescent="0.3">
      <c r="A507" t="s">
        <v>66</v>
      </c>
      <c r="B507">
        <v>532.86</v>
      </c>
      <c r="C507">
        <v>0.21</v>
      </c>
      <c r="D507">
        <v>0.9</v>
      </c>
      <c r="E507">
        <v>0.48599999999999999</v>
      </c>
      <c r="F507">
        <v>298</v>
      </c>
      <c r="G507">
        <v>1</v>
      </c>
      <c r="H507">
        <v>744.89179999999999</v>
      </c>
      <c r="I507">
        <v>7</v>
      </c>
      <c r="J507">
        <v>127.898936292983</v>
      </c>
      <c r="K507">
        <v>1269.5327213156399</v>
      </c>
      <c r="L507">
        <v>1269.5326413724631</v>
      </c>
      <c r="M507">
        <v>1.0000000629705565</v>
      </c>
      <c r="N507" s="1"/>
    </row>
    <row r="508" spans="1:14" x14ac:dyDescent="0.3">
      <c r="A508" t="s">
        <v>68</v>
      </c>
      <c r="B508">
        <v>2.9</v>
      </c>
      <c r="D508">
        <v>7.31</v>
      </c>
      <c r="E508">
        <v>0.5</v>
      </c>
      <c r="F508">
        <v>298</v>
      </c>
      <c r="G508">
        <v>0.16700000000000001</v>
      </c>
      <c r="H508">
        <v>20</v>
      </c>
      <c r="I508">
        <v>4</v>
      </c>
      <c r="J508">
        <v>2</v>
      </c>
      <c r="K508">
        <v>36</v>
      </c>
      <c r="L508">
        <v>36</v>
      </c>
      <c r="M508">
        <v>1</v>
      </c>
      <c r="N508" s="1" t="s">
        <v>69</v>
      </c>
    </row>
    <row r="509" spans="1:14" x14ac:dyDescent="0.3">
      <c r="A509" t="s">
        <v>68</v>
      </c>
      <c r="B509">
        <v>2.9</v>
      </c>
      <c r="D509">
        <v>7.31</v>
      </c>
      <c r="E509">
        <v>0.5</v>
      </c>
      <c r="F509">
        <v>298</v>
      </c>
      <c r="G509">
        <v>0.16700000000000001</v>
      </c>
      <c r="H509">
        <v>20</v>
      </c>
      <c r="I509">
        <v>5</v>
      </c>
      <c r="J509">
        <v>2</v>
      </c>
      <c r="K509">
        <v>36</v>
      </c>
      <c r="L509">
        <v>36</v>
      </c>
      <c r="M509">
        <v>1</v>
      </c>
      <c r="N509" s="1"/>
    </row>
    <row r="510" spans="1:14" x14ac:dyDescent="0.3">
      <c r="A510" t="s">
        <v>68</v>
      </c>
      <c r="B510">
        <v>2.9</v>
      </c>
      <c r="D510">
        <v>7.31</v>
      </c>
      <c r="E510">
        <v>0.5</v>
      </c>
      <c r="F510">
        <v>298</v>
      </c>
      <c r="G510">
        <v>0.16700000000000001</v>
      </c>
      <c r="H510">
        <v>20</v>
      </c>
      <c r="I510">
        <v>6</v>
      </c>
      <c r="J510">
        <v>1.4</v>
      </c>
      <c r="K510">
        <v>37.200000000000003</v>
      </c>
      <c r="L510">
        <v>37.200000000000003</v>
      </c>
      <c r="M510">
        <v>1</v>
      </c>
      <c r="N510" s="1"/>
    </row>
    <row r="511" spans="1:14" x14ac:dyDescent="0.3">
      <c r="A511" t="s">
        <v>68</v>
      </c>
      <c r="B511">
        <v>2.9</v>
      </c>
      <c r="D511">
        <v>7.31</v>
      </c>
      <c r="E511">
        <v>0.5</v>
      </c>
      <c r="F511">
        <v>298</v>
      </c>
      <c r="G511">
        <v>0.16700000000000001</v>
      </c>
      <c r="H511">
        <v>20</v>
      </c>
      <c r="I511">
        <v>7</v>
      </c>
      <c r="J511">
        <v>1.4</v>
      </c>
      <c r="K511">
        <v>37.200000000000003</v>
      </c>
      <c r="L511">
        <v>37.200000000000003</v>
      </c>
      <c r="M511">
        <v>1</v>
      </c>
      <c r="N511" s="1"/>
    </row>
    <row r="512" spans="1:14" x14ac:dyDescent="0.3">
      <c r="A512" t="s">
        <v>68</v>
      </c>
      <c r="B512">
        <v>2.9</v>
      </c>
      <c r="D512">
        <v>7.31</v>
      </c>
      <c r="E512">
        <v>0.5</v>
      </c>
      <c r="F512">
        <v>298</v>
      </c>
      <c r="G512">
        <v>0.16700000000000001</v>
      </c>
      <c r="H512">
        <v>20</v>
      </c>
      <c r="I512">
        <v>8</v>
      </c>
      <c r="J512">
        <v>1.6</v>
      </c>
      <c r="K512">
        <v>36.799999999999997</v>
      </c>
      <c r="L512">
        <v>36.799999999999997</v>
      </c>
      <c r="M512">
        <v>1</v>
      </c>
      <c r="N512" s="1"/>
    </row>
    <row r="513" spans="1:14" x14ac:dyDescent="0.3">
      <c r="A513" t="s">
        <v>68</v>
      </c>
      <c r="B513">
        <v>2.9</v>
      </c>
      <c r="D513">
        <v>7.31</v>
      </c>
      <c r="E513">
        <v>0.5</v>
      </c>
      <c r="F513">
        <v>298</v>
      </c>
      <c r="G513">
        <v>0.16700000000000001</v>
      </c>
      <c r="H513">
        <v>20</v>
      </c>
      <c r="I513">
        <v>9</v>
      </c>
      <c r="J513">
        <v>6.55</v>
      </c>
      <c r="K513">
        <v>26.9</v>
      </c>
      <c r="L513">
        <v>26.9</v>
      </c>
      <c r="M513">
        <v>1</v>
      </c>
      <c r="N513" s="1"/>
    </row>
    <row r="514" spans="1:14" x14ac:dyDescent="0.3">
      <c r="A514" t="s">
        <v>68</v>
      </c>
      <c r="B514">
        <v>2.9</v>
      </c>
      <c r="D514">
        <v>7.31</v>
      </c>
      <c r="E514">
        <v>0.25</v>
      </c>
      <c r="F514">
        <v>298</v>
      </c>
      <c r="G514">
        <v>0.16700000000000001</v>
      </c>
      <c r="H514">
        <v>20</v>
      </c>
      <c r="I514">
        <v>7</v>
      </c>
      <c r="J514">
        <v>11.3</v>
      </c>
      <c r="K514">
        <v>34.799999999999997</v>
      </c>
      <c r="L514">
        <v>34.799999999999997</v>
      </c>
      <c r="M514">
        <v>1</v>
      </c>
      <c r="N514" s="1"/>
    </row>
    <row r="515" spans="1:14" x14ac:dyDescent="0.3">
      <c r="A515" t="s">
        <v>68</v>
      </c>
      <c r="B515">
        <v>2.9</v>
      </c>
      <c r="D515">
        <v>7.31</v>
      </c>
      <c r="E515">
        <v>0.5</v>
      </c>
      <c r="F515">
        <v>298</v>
      </c>
      <c r="G515">
        <v>0.16700000000000001</v>
      </c>
      <c r="H515">
        <v>20</v>
      </c>
      <c r="I515">
        <v>7</v>
      </c>
      <c r="J515">
        <v>1.4</v>
      </c>
      <c r="K515">
        <v>37.200000000000003</v>
      </c>
      <c r="L515">
        <v>37.200000000000003</v>
      </c>
      <c r="M515">
        <v>1</v>
      </c>
      <c r="N515" s="1"/>
    </row>
    <row r="516" spans="1:14" x14ac:dyDescent="0.3">
      <c r="A516" t="s">
        <v>68</v>
      </c>
      <c r="B516">
        <v>2.9</v>
      </c>
      <c r="D516">
        <v>7.31</v>
      </c>
      <c r="E516">
        <v>0.5</v>
      </c>
      <c r="F516">
        <v>288</v>
      </c>
      <c r="G516">
        <v>0.16700000000000001</v>
      </c>
      <c r="H516">
        <v>20</v>
      </c>
      <c r="I516">
        <v>7</v>
      </c>
      <c r="J516">
        <v>1.8</v>
      </c>
      <c r="K516">
        <v>36.4</v>
      </c>
      <c r="L516">
        <v>36.4</v>
      </c>
      <c r="M516">
        <v>1</v>
      </c>
      <c r="N516" s="1"/>
    </row>
    <row r="517" spans="1:14" x14ac:dyDescent="0.3">
      <c r="A517" t="s">
        <v>68</v>
      </c>
      <c r="B517">
        <v>2.9</v>
      </c>
      <c r="D517">
        <v>7.31</v>
      </c>
      <c r="E517">
        <v>0.5</v>
      </c>
      <c r="F517">
        <v>293</v>
      </c>
      <c r="G517">
        <v>0.16700000000000001</v>
      </c>
      <c r="H517">
        <v>20</v>
      </c>
      <c r="I517">
        <v>7</v>
      </c>
      <c r="J517">
        <v>1.4</v>
      </c>
      <c r="K517">
        <v>37.200000000000003</v>
      </c>
      <c r="L517">
        <v>37.200000000000003</v>
      </c>
      <c r="M517">
        <v>1</v>
      </c>
      <c r="N517" s="1"/>
    </row>
    <row r="518" spans="1:14" x14ac:dyDescent="0.3">
      <c r="A518" t="s">
        <v>68</v>
      </c>
      <c r="B518">
        <v>2.9</v>
      </c>
      <c r="D518">
        <v>7.31</v>
      </c>
      <c r="E518">
        <v>0.5</v>
      </c>
      <c r="F518">
        <v>298</v>
      </c>
      <c r="G518">
        <v>0.16700000000000001</v>
      </c>
      <c r="H518">
        <v>20</v>
      </c>
      <c r="I518">
        <v>7</v>
      </c>
      <c r="J518">
        <v>1.4</v>
      </c>
      <c r="K518">
        <v>37.200000000000003</v>
      </c>
      <c r="L518">
        <v>37.200000000000003</v>
      </c>
      <c r="M518">
        <v>1</v>
      </c>
      <c r="N518" s="1"/>
    </row>
    <row r="519" spans="1:14" x14ac:dyDescent="0.3">
      <c r="A519" t="s">
        <v>68</v>
      </c>
      <c r="B519">
        <v>2.9</v>
      </c>
      <c r="D519">
        <v>7.31</v>
      </c>
      <c r="E519">
        <v>0.5</v>
      </c>
      <c r="F519">
        <v>303</v>
      </c>
      <c r="G519">
        <v>0.16700000000000001</v>
      </c>
      <c r="H519">
        <v>20</v>
      </c>
      <c r="I519">
        <v>7</v>
      </c>
      <c r="J519">
        <v>1.4</v>
      </c>
      <c r="K519">
        <v>37.200000000000003</v>
      </c>
      <c r="L519">
        <v>37.200000000000003</v>
      </c>
      <c r="M519">
        <v>1</v>
      </c>
      <c r="N519" s="1"/>
    </row>
    <row r="520" spans="1:14" x14ac:dyDescent="0.3">
      <c r="A520" t="s">
        <v>68</v>
      </c>
      <c r="B520">
        <v>2.9</v>
      </c>
      <c r="D520">
        <v>7.31</v>
      </c>
      <c r="E520">
        <v>0.5</v>
      </c>
      <c r="F520">
        <v>308</v>
      </c>
      <c r="G520">
        <v>0.16700000000000001</v>
      </c>
      <c r="H520">
        <v>20</v>
      </c>
      <c r="I520">
        <v>7</v>
      </c>
      <c r="J520">
        <v>1.8</v>
      </c>
      <c r="K520">
        <v>36.4</v>
      </c>
      <c r="L520">
        <v>36.4</v>
      </c>
      <c r="M520">
        <v>1</v>
      </c>
      <c r="N520" s="1"/>
    </row>
    <row r="521" spans="1:14" x14ac:dyDescent="0.3">
      <c r="A521" t="s">
        <v>68</v>
      </c>
      <c r="B521">
        <v>2.9</v>
      </c>
      <c r="D521">
        <v>7.31</v>
      </c>
      <c r="E521">
        <v>0.5</v>
      </c>
      <c r="F521">
        <v>313</v>
      </c>
      <c r="G521">
        <v>0.16700000000000001</v>
      </c>
      <c r="H521">
        <v>20</v>
      </c>
      <c r="I521">
        <v>7</v>
      </c>
      <c r="J521">
        <v>1.8</v>
      </c>
      <c r="K521">
        <v>36.4</v>
      </c>
      <c r="L521">
        <v>36.4</v>
      </c>
      <c r="M521">
        <v>1</v>
      </c>
      <c r="N521" s="1"/>
    </row>
    <row r="522" spans="1:14" x14ac:dyDescent="0.3">
      <c r="A522" t="s">
        <v>68</v>
      </c>
      <c r="B522">
        <v>2.9</v>
      </c>
      <c r="D522">
        <v>7.31</v>
      </c>
      <c r="E522">
        <v>0.5</v>
      </c>
      <c r="F522">
        <v>318</v>
      </c>
      <c r="G522">
        <v>0.16700000000000001</v>
      </c>
      <c r="H522">
        <v>20</v>
      </c>
      <c r="I522">
        <v>7</v>
      </c>
      <c r="J522">
        <v>1.95</v>
      </c>
      <c r="K522">
        <v>36.1</v>
      </c>
      <c r="L522">
        <v>36.1</v>
      </c>
      <c r="M522">
        <v>1</v>
      </c>
      <c r="N522" s="1"/>
    </row>
    <row r="523" spans="1:14" x14ac:dyDescent="0.3">
      <c r="A523" t="s">
        <v>68</v>
      </c>
      <c r="B523">
        <v>2.9</v>
      </c>
      <c r="D523">
        <v>7.31</v>
      </c>
      <c r="E523">
        <v>0.5</v>
      </c>
      <c r="F523">
        <v>303</v>
      </c>
      <c r="G523">
        <v>0.16700000000000001</v>
      </c>
      <c r="H523">
        <v>10</v>
      </c>
      <c r="I523">
        <v>7</v>
      </c>
      <c r="J523">
        <v>1.4</v>
      </c>
      <c r="K523">
        <v>17.2</v>
      </c>
      <c r="L523">
        <v>17.2</v>
      </c>
      <c r="M523">
        <v>1</v>
      </c>
      <c r="N523" s="1"/>
    </row>
    <row r="524" spans="1:14" x14ac:dyDescent="0.3">
      <c r="A524" t="s">
        <v>68</v>
      </c>
      <c r="B524">
        <v>2.9</v>
      </c>
      <c r="D524">
        <v>7.31</v>
      </c>
      <c r="E524">
        <v>0.5</v>
      </c>
      <c r="F524">
        <v>303</v>
      </c>
      <c r="G524">
        <v>0.16700000000000001</v>
      </c>
      <c r="H524">
        <v>25</v>
      </c>
      <c r="I524">
        <v>7</v>
      </c>
      <c r="J524">
        <v>3.3</v>
      </c>
      <c r="K524">
        <v>43.4</v>
      </c>
      <c r="L524">
        <v>43.4</v>
      </c>
      <c r="M524">
        <v>1</v>
      </c>
      <c r="N524" s="1"/>
    </row>
    <row r="525" spans="1:14" x14ac:dyDescent="0.3">
      <c r="A525" t="s">
        <v>68</v>
      </c>
      <c r="B525">
        <v>2.9</v>
      </c>
      <c r="D525">
        <v>7.31</v>
      </c>
      <c r="E525">
        <v>0.5</v>
      </c>
      <c r="F525">
        <v>303</v>
      </c>
      <c r="G525">
        <v>0.16700000000000001</v>
      </c>
      <c r="H525">
        <v>50</v>
      </c>
      <c r="I525">
        <v>7</v>
      </c>
      <c r="J525">
        <v>4.75</v>
      </c>
      <c r="K525">
        <v>90.5</v>
      </c>
      <c r="L525">
        <v>90.5</v>
      </c>
      <c r="M525">
        <v>1</v>
      </c>
      <c r="N525" s="1"/>
    </row>
    <row r="526" spans="1:14" x14ac:dyDescent="0.3">
      <c r="A526" t="s">
        <v>68</v>
      </c>
      <c r="B526">
        <v>2.9</v>
      </c>
      <c r="D526">
        <v>7.31</v>
      </c>
      <c r="E526">
        <v>0.5</v>
      </c>
      <c r="F526">
        <v>303</v>
      </c>
      <c r="G526">
        <v>0.16700000000000001</v>
      </c>
      <c r="H526">
        <v>75</v>
      </c>
      <c r="I526">
        <v>7</v>
      </c>
      <c r="J526">
        <v>9.75</v>
      </c>
      <c r="K526">
        <v>130.5</v>
      </c>
      <c r="L526">
        <v>130.5</v>
      </c>
      <c r="M526">
        <v>1</v>
      </c>
      <c r="N526" s="1"/>
    </row>
    <row r="527" spans="1:14" x14ac:dyDescent="0.3">
      <c r="A527" t="s">
        <v>68</v>
      </c>
      <c r="B527">
        <v>2.9</v>
      </c>
      <c r="D527">
        <v>7.31</v>
      </c>
      <c r="E527">
        <v>0.5</v>
      </c>
      <c r="F527">
        <v>303</v>
      </c>
      <c r="G527">
        <v>0.16700000000000001</v>
      </c>
      <c r="H527">
        <v>100</v>
      </c>
      <c r="I527">
        <v>7</v>
      </c>
      <c r="J527">
        <v>8.9499999999999993</v>
      </c>
      <c r="K527">
        <v>182.1</v>
      </c>
      <c r="L527">
        <v>182.1</v>
      </c>
      <c r="M527">
        <v>1</v>
      </c>
      <c r="N527" s="1"/>
    </row>
    <row r="528" spans="1:14" x14ac:dyDescent="0.3">
      <c r="A528" t="s">
        <v>68</v>
      </c>
      <c r="B528">
        <v>2.9</v>
      </c>
      <c r="D528">
        <v>7.31</v>
      </c>
      <c r="E528">
        <v>0.5</v>
      </c>
      <c r="F528">
        <v>303</v>
      </c>
      <c r="G528">
        <v>0.16700000000000001</v>
      </c>
      <c r="H528">
        <v>150</v>
      </c>
      <c r="I528">
        <v>7</v>
      </c>
      <c r="J528">
        <v>29.9</v>
      </c>
      <c r="K528">
        <v>240.2</v>
      </c>
      <c r="L528">
        <v>240.2</v>
      </c>
      <c r="M528">
        <v>1</v>
      </c>
      <c r="N528" s="1"/>
    </row>
    <row r="529" spans="1:14" x14ac:dyDescent="0.3">
      <c r="A529" t="s">
        <v>68</v>
      </c>
      <c r="B529">
        <v>2.9</v>
      </c>
      <c r="D529">
        <v>7.31</v>
      </c>
      <c r="E529">
        <v>0.5</v>
      </c>
      <c r="F529">
        <v>303</v>
      </c>
      <c r="G529">
        <v>0.16700000000000001</v>
      </c>
      <c r="H529">
        <v>200</v>
      </c>
      <c r="I529">
        <v>7</v>
      </c>
      <c r="J529">
        <v>31.95</v>
      </c>
      <c r="K529">
        <v>336.1</v>
      </c>
      <c r="L529">
        <v>336.1</v>
      </c>
      <c r="M529">
        <v>1</v>
      </c>
      <c r="N529" s="1"/>
    </row>
    <row r="530" spans="1:14" x14ac:dyDescent="0.3">
      <c r="A530" t="s">
        <v>68</v>
      </c>
      <c r="B530">
        <v>2.9</v>
      </c>
      <c r="D530">
        <v>7.31</v>
      </c>
      <c r="E530">
        <v>0.5</v>
      </c>
      <c r="F530">
        <v>303</v>
      </c>
      <c r="G530">
        <v>0.16700000000000001</v>
      </c>
      <c r="H530">
        <v>10.097899999999999</v>
      </c>
      <c r="I530">
        <v>7</v>
      </c>
      <c r="J530">
        <v>1.7273918295150399</v>
      </c>
      <c r="K530">
        <v>16.741071713670198</v>
      </c>
      <c r="L530">
        <v>16.741016340969917</v>
      </c>
      <c r="M530">
        <v>1.0000033076068473</v>
      </c>
      <c r="N530" s="1"/>
    </row>
    <row r="531" spans="1:14" x14ac:dyDescent="0.3">
      <c r="A531" t="s">
        <v>68</v>
      </c>
      <c r="B531">
        <v>2.9</v>
      </c>
      <c r="D531">
        <v>7.31</v>
      </c>
      <c r="E531">
        <v>0.5</v>
      </c>
      <c r="F531">
        <v>303</v>
      </c>
      <c r="G531">
        <v>0.16700000000000001</v>
      </c>
      <c r="H531">
        <v>24.700199999999999</v>
      </c>
      <c r="I531">
        <v>7</v>
      </c>
      <c r="J531">
        <v>2.26720293454746</v>
      </c>
      <c r="K531">
        <v>44.8660773016056</v>
      </c>
      <c r="L531">
        <v>44.865994130905079</v>
      </c>
      <c r="M531">
        <v>1.0000018537581108</v>
      </c>
      <c r="N531" s="1"/>
    </row>
    <row r="532" spans="1:14" x14ac:dyDescent="0.3">
      <c r="A532" t="s">
        <v>68</v>
      </c>
      <c r="B532">
        <v>2.9</v>
      </c>
      <c r="D532">
        <v>7.31</v>
      </c>
      <c r="E532">
        <v>0.5</v>
      </c>
      <c r="F532">
        <v>303</v>
      </c>
      <c r="G532">
        <v>0.16700000000000001</v>
      </c>
      <c r="H532">
        <v>49.703200000000002</v>
      </c>
      <c r="I532">
        <v>7</v>
      </c>
      <c r="J532">
        <v>3.8326559628278498</v>
      </c>
      <c r="K532">
        <v>91.741078099882202</v>
      </c>
      <c r="L532">
        <v>91.741088074344304</v>
      </c>
      <c r="M532">
        <v>0.9999998912759559</v>
      </c>
      <c r="N532" s="1"/>
    </row>
    <row r="533" spans="1:14" x14ac:dyDescent="0.3">
      <c r="A533" t="s">
        <v>68</v>
      </c>
      <c r="B533">
        <v>2.9</v>
      </c>
      <c r="D533">
        <v>7.31</v>
      </c>
      <c r="E533">
        <v>0.5</v>
      </c>
      <c r="F533">
        <v>303</v>
      </c>
      <c r="G533">
        <v>0.16700000000000001</v>
      </c>
      <c r="H533">
        <v>74.889300000000006</v>
      </c>
      <c r="I533">
        <v>7</v>
      </c>
      <c r="J533">
        <v>6.5856917748068096</v>
      </c>
      <c r="K533">
        <v>136.60712985663901</v>
      </c>
      <c r="L533">
        <v>136.6072164503864</v>
      </c>
      <c r="M533">
        <v>0.99999936611147167</v>
      </c>
      <c r="N533" s="1"/>
    </row>
    <row r="534" spans="1:14" x14ac:dyDescent="0.3">
      <c r="A534" t="s">
        <v>68</v>
      </c>
      <c r="B534">
        <v>2.9</v>
      </c>
      <c r="D534">
        <v>7.31</v>
      </c>
      <c r="E534">
        <v>0.5</v>
      </c>
      <c r="F534">
        <v>303</v>
      </c>
      <c r="G534">
        <v>0.16700000000000001</v>
      </c>
      <c r="H534">
        <v>99.674899999999994</v>
      </c>
      <c r="I534">
        <v>7</v>
      </c>
      <c r="J534">
        <v>11.282046741216099</v>
      </c>
      <c r="K534">
        <v>176.78570196944801</v>
      </c>
      <c r="L534">
        <v>176.7857065175678</v>
      </c>
      <c r="M534">
        <v>0.99999997427326071</v>
      </c>
      <c r="N534" s="1"/>
    </row>
    <row r="535" spans="1:14" x14ac:dyDescent="0.3">
      <c r="A535" t="s">
        <v>68</v>
      </c>
      <c r="B535">
        <v>2.9</v>
      </c>
      <c r="D535">
        <v>7.31</v>
      </c>
      <c r="E535">
        <v>0.5</v>
      </c>
      <c r="F535">
        <v>303</v>
      </c>
      <c r="G535">
        <v>0.16700000000000001</v>
      </c>
      <c r="H535">
        <v>149.93700000000001</v>
      </c>
      <c r="I535">
        <v>7</v>
      </c>
      <c r="J535">
        <v>21.7004027157145</v>
      </c>
      <c r="K535">
        <v>256.473213544457</v>
      </c>
      <c r="L535">
        <v>256.47319456857105</v>
      </c>
      <c r="M535">
        <v>1.0000000739877943</v>
      </c>
      <c r="N535" s="1"/>
    </row>
    <row r="536" spans="1:14" x14ac:dyDescent="0.3">
      <c r="A536" t="s">
        <v>68</v>
      </c>
      <c r="B536">
        <v>2.9</v>
      </c>
      <c r="D536">
        <v>7.31</v>
      </c>
      <c r="E536">
        <v>0.5</v>
      </c>
      <c r="F536">
        <v>303</v>
      </c>
      <c r="G536">
        <v>0.16700000000000001</v>
      </c>
      <c r="H536">
        <v>199.9811</v>
      </c>
      <c r="I536">
        <v>7</v>
      </c>
      <c r="J536">
        <v>36.923074230255999</v>
      </c>
      <c r="K536">
        <v>326.11606931884</v>
      </c>
      <c r="L536">
        <v>326.11605153948801</v>
      </c>
      <c r="M536">
        <v>1.0000000545184817</v>
      </c>
      <c r="N536" s="1"/>
    </row>
  </sheetData>
  <mergeCells count="21">
    <mergeCell ref="N508:N536"/>
    <mergeCell ref="N280:N312"/>
    <mergeCell ref="N313:N360"/>
    <mergeCell ref="N426:N500"/>
    <mergeCell ref="N501:N507"/>
    <mergeCell ref="N87:N96"/>
    <mergeCell ref="N410:N425"/>
    <mergeCell ref="N361:N409"/>
    <mergeCell ref="N97:N113"/>
    <mergeCell ref="N114:N131"/>
    <mergeCell ref="N132:N155"/>
    <mergeCell ref="N156:N184"/>
    <mergeCell ref="N185:N228"/>
    <mergeCell ref="N229:N235"/>
    <mergeCell ref="N236:N259"/>
    <mergeCell ref="N260:N279"/>
    <mergeCell ref="N2:N9"/>
    <mergeCell ref="N10:N20"/>
    <mergeCell ref="N21:N32"/>
    <mergeCell ref="N33:N60"/>
    <mergeCell ref="N61:N8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Bhat AS</dc:creator>
  <cp:lastModifiedBy>Shravani Bhat AS</cp:lastModifiedBy>
  <dcterms:created xsi:type="dcterms:W3CDTF">2025-12-14T09:59:25Z</dcterms:created>
  <dcterms:modified xsi:type="dcterms:W3CDTF">2026-07-19T14:41:34Z</dcterms:modified>
</cp:coreProperties>
</file>